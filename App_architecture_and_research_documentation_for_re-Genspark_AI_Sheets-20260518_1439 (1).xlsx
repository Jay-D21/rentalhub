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g"/>
  <Default Extension="tiff" ContentType="image/tiff"/>
  <Default Extension="jpeg" ContentType="image/jpeg"/>
  <Default Extension="png" ContentType="image/png"/>
  <Default Extension="bmp" ContentType="image/bmp"/>
  <Default Extension="gif" ContentType="image/gif"/>
  <Default Extension="svg" ContentType="image/svg+xml"/>
  <Default Extension="emf" ContentType="image/x-emf"/>
  <Default Extension="wmf" ContentType="image/x-wmf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/xl/workbook.xml"/><Relationship Id="rId2" Type="http://schemas.openxmlformats.org/package/2006/relationships/metadata/core-properties" Target="/docProps/core.xml"/><Relationship Id="rId3" Type="http://schemas.openxmlformats.org/officeDocument/2006/relationships/extended-properties" Target="/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tabRatio="500"/>
  </bookViews>
  <sheets>
    <sheet r:id="rId1" name="Index" sheetId="1"/>
    <sheet r:id="rId2" name="01_Vision_Strategy" sheetId="2"/>
    <sheet r:id="rId3" name="02_Global_Competitors" sheetId="3"/>
    <sheet r:id="rId4" name="03_Royal_Brothers" sheetId="4"/>
    <sheet r:id="rId5" name="04_SharePal" sheetId="5"/>
    <sheet r:id="rId6" name="05_Our_Edge" sheetId="6"/>
    <sheet r:id="rId7" name="06_Tech_Stack" sheetId="7"/>
    <sheet r:id="rId8" name="07_Microservices" sheetId="8"/>
    <sheet r:id="rId9" name="08_Business_Model" sheetId="9"/>
    <sheet r:id="rId10" name="09_Org_Structure" sheetId="10"/>
    <sheet r:id="rId11" name="10_Legal_Risks" sheetId="11"/>
    <sheet r:id="rId12" name="11_Marketing" sheetId="12"/>
    <sheet r:id="rId13" name="12_MVP_Roadmap" sheetId="13"/>
    <sheet r:id="rId14" name="13_Financials" sheetId="14"/>
    <sheet r:id="rId15" name="14_UI_UX_Design" sheetId="15"/>
    <sheet r:id="rId16" name="15_Flowcharts" sheetId="16"/>
  </sheets>
  <calcPr calcId="0" iterate="1" iterateCount="1000" iterateDelta="0.01"/>
</workbook>
</file>

<file path=xl/sharedStrings.xml><?xml version="1.0" encoding="utf-8"?>
<sst xmlns="http://schemas.openxmlformats.org/spreadsheetml/2006/main" count="1022" uniqueCount="1022">
  <si>
    <t>RENTAL SUPERAPP — MASTER STRATEGY WORKBOOK</t>
  </si>
  <si>
    <t>Complete Research, Architecture, Competitor Analysis &amp; Flowcharts</t>
  </si>
  <si>
    <t>#</t>
  </si>
  <si>
    <t>Sheet Name</t>
  </si>
  <si>
    <t>Description</t>
  </si>
  <si>
    <t>Type</t>
  </si>
  <si>
    <t>01_Vision_Strategy</t>
  </si>
  <si>
    <t>Vision, mission, positioning, TAM/SAM/SOM</t>
  </si>
  <si>
    <t>Strategy</t>
  </si>
  <si>
    <t>02_Global_Competitors</t>
  </si>
  <si>
    <t>Top 10 global competitors deep analysis</t>
  </si>
  <si>
    <t>Research</t>
  </si>
  <si>
    <t>03_Royal_Brothers</t>
  </si>
  <si>
    <t>20 weaknesses, complaints, missing pieces</t>
  </si>
  <si>
    <t>04_SharePal</t>
  </si>
  <si>
    <t>Strengths, weaknesses, gaps</t>
  </si>
  <si>
    <t>05_Our_Edge</t>
  </si>
  <si>
    <t>Where competitors lag &amp; how we win (20 points)</t>
  </si>
  <si>
    <t>06_Tech_Stack</t>
  </si>
  <si>
    <t>Frontend, backend, DB, cloud, AI</t>
  </si>
  <si>
    <t>Tech</t>
  </si>
  <si>
    <t>07_Microservices</t>
  </si>
  <si>
    <t>All microservices &amp; core modules</t>
  </si>
  <si>
    <t>08_Business_Model</t>
  </si>
  <si>
    <t>Revenue streams, monetization</t>
  </si>
  <si>
    <t>Business</t>
  </si>
  <si>
    <t>09_Org_Structure</t>
  </si>
  <si>
    <t>CEO/CTO/COO/CMO/CFO + other roles</t>
  </si>
  <si>
    <t>People</t>
  </si>
  <si>
    <t>10_Legal_Risks</t>
  </si>
  <si>
    <t>Legal, regulatory, compliance</t>
  </si>
  <si>
    <t>Risk</t>
  </si>
  <si>
    <t>11_Marketing</t>
  </si>
  <si>
    <t>Marketing challenges &amp; solutions</t>
  </si>
  <si>
    <t>Growth</t>
  </si>
  <si>
    <t>12_MVP_Roadmap</t>
  </si>
  <si>
    <t>5-month MVP timeline + phases</t>
  </si>
  <si>
    <t>Plan</t>
  </si>
  <si>
    <t>13_Financials</t>
  </si>
  <si>
    <t>Unit economics, costs, revenue projection</t>
  </si>
  <si>
    <t>Finance</t>
  </si>
  <si>
    <t>14_UI_UX_Design</t>
  </si>
  <si>
    <t>Web + Mobile app screens &amp; layout</t>
  </si>
  <si>
    <t>Design</t>
  </si>
  <si>
    <t>15_Flowcharts</t>
  </si>
  <si>
    <t>All system flowcharts (visual)</t>
  </si>
  <si>
    <t>Diagrams</t>
  </si>
  <si>
    <t>Generated by Genspark | Date: 2026-05-18</t>
  </si>
  <si>
    <t>VISION &amp; STRATEGIC POSITIONING</t>
  </si>
  <si>
    <t>CORE VISION</t>
  </si>
  <si>
    <t>Vision Statement</t>
  </si>
  <si>
    <t>Build India's largest rental super-platform where users open ONE app to rent anything instead of buying or searching Google.</t>
  </si>
  <si>
    <t>Mission</t>
  </si>
  <si>
    <t>Become the default operating system of temporary ownership — combining marketplace, AI, logistics, trust, and vendor SaaS.</t>
  </si>
  <si>
    <t>Tagline</t>
  </si>
  <si>
    <t>Why buy when you can access instantly?</t>
  </si>
  <si>
    <t>Long-term Vision (10 yr)</t>
  </si>
  <si>
    <t>India's Rental Infrastructure Layer — every vendor, every category, every city, powered by AI.</t>
  </si>
  <si>
    <t>MARKET OPPORTUNITY (TAM/SAM/SOM)</t>
  </si>
  <si>
    <t>Metric</t>
  </si>
  <si>
    <t>Definition</t>
  </si>
  <si>
    <t>Estimated Value</t>
  </si>
  <si>
    <t>Notes</t>
  </si>
  <si>
    <t>TAM (Total Addressable Market)</t>
  </si>
  <si>
    <t>Global rental + access economy</t>
  </si>
  <si>
    <t>$1.5 Trillion by 2030</t>
  </si>
  <si>
    <t>Includes mobility, gear, furniture, spaces</t>
  </si>
  <si>
    <t>SAM (Serviceable Available)</t>
  </si>
  <si>
    <t>India multi-category rental</t>
  </si>
  <si>
    <t>$25–40 Billion</t>
  </si>
  <si>
    <t>Urban India, Tier 1+2 cities</t>
  </si>
  <si>
    <t>SOM (Serviceable Obtainable)</t>
  </si>
  <si>
    <t>Realistic 5-yr capture</t>
  </si>
  <si>
    <t>$300–800 Million</t>
  </si>
  <si>
    <t>10–15 cities, top 5 categories</t>
  </si>
  <si>
    <t>India Rental Growth CAGR</t>
  </si>
  <si>
    <t>Across categories</t>
  </si>
  <si>
    <t>18–24%</t>
  </si>
  <si>
    <t>Driven by Gen Z, urbanization</t>
  </si>
  <si>
    <t>STRATEGIC POSITIONING</t>
  </si>
  <si>
    <t>Pillar</t>
  </si>
  <si>
    <t>Outcome</t>
  </si>
  <si>
    <t>Priority</t>
  </si>
  <si>
    <t>Multi-Category Aggregation</t>
  </si>
  <si>
    <t>Bikes, cameras, furniture, gaming, events</t>
  </si>
  <si>
    <t>Habit formation</t>
  </si>
  <si>
    <t>P0</t>
  </si>
  <si>
    <t>AI-First Discovery</t>
  </si>
  <si>
    <t>Intent-based search &amp; recommendations</t>
  </si>
  <si>
    <t>Owns user intent</t>
  </si>
  <si>
    <t>Hyperlocal Logistics</t>
  </si>
  <si>
    <t>Dark rental hubs, 15-30 min delivery</t>
  </si>
  <si>
    <t>Moat via convenience</t>
  </si>
  <si>
    <t>Standardized Trust</t>
  </si>
  <si>
    <t>Inspections, insurance, instant refund</t>
  </si>
  <si>
    <t>OYO-style consistency</t>
  </si>
  <si>
    <t>Vendor Operating System</t>
  </si>
  <si>
    <t>SaaS, CRM, analytics for vendors</t>
  </si>
  <si>
    <t>Vendor lock-in</t>
  </si>
  <si>
    <t>P1</t>
  </si>
  <si>
    <t>Subscriptions &amp; Community</t>
  </si>
  <si>
    <t>Memberships, rider clubs, creators</t>
  </si>
  <si>
    <t>Retention + LTV</t>
  </si>
  <si>
    <t>Programmatic SEO</t>
  </si>
  <si>
    <t>Thousands of city × category pages</t>
  </si>
  <si>
    <t>Default search habit</t>
  </si>
  <si>
    <t>WHY THIS WINS</t>
  </si>
  <si>
    <t>1. Ownership economy → Access economy (Gen Z, urban professionals)</t>
  </si>
  <si>
    <t>2. Indian rental market is fragmented — no national brand owns intent</t>
  </si>
  <si>
    <t>3. AI + Hyperlocal logistics = unbeatable consumer convenience</t>
  </si>
  <si>
    <t>4. Multi-category flywheel = network effects competitors lack</t>
  </si>
  <si>
    <t>5. Vendor SaaS = infrastructure layer = long-term moat</t>
  </si>
  <si>
    <t>TOP 10 GLOBAL COMPETITORS — DEEP DIVE</t>
  </si>
  <si>
    <t>Company</t>
  </si>
  <si>
    <t>Country</t>
  </si>
  <si>
    <t>Category</t>
  </si>
  <si>
    <t>Model</t>
  </si>
  <si>
    <t>Key Strength</t>
  </si>
  <si>
    <t>Key Weakness</t>
  </si>
  <si>
    <t>Lesson for Us</t>
  </si>
  <si>
    <t>Airbnb</t>
  </si>
  <si>
    <t>USA</t>
  </si>
  <si>
    <t>Property/Stays</t>
  </si>
  <si>
    <t>P2P Marketplace</t>
  </si>
  <si>
    <t>Trust system + global liquidity</t>
  </si>
  <si>
    <t>Regulatory issues, fake listings</t>
  </si>
  <si>
    <t>Build trust like Airbnb did</t>
  </si>
  <si>
    <t>Turo</t>
  </si>
  <si>
    <t>Car sharing</t>
  </si>
  <si>
    <t>P2P Asset-light</t>
  </si>
  <si>
    <t>Asset-light scaling</t>
  </si>
  <si>
    <t>Insurance complexity</t>
  </si>
  <si>
    <t>Hybrid P2P + own inventory</t>
  </si>
  <si>
    <t>Lime</t>
  </si>
  <si>
    <t>USA/Global</t>
  </si>
  <si>
    <t>E-scooters</t>
  </si>
  <si>
    <t>Own fleet hyperlocal</t>
  </si>
  <si>
    <t>Hyperlocal density</t>
  </si>
  <si>
    <t>Heavy capex, vandalism</t>
  </si>
  <si>
    <t>Density beats coverage</t>
  </si>
  <si>
    <t>Bird</t>
  </si>
  <si>
    <t>Scooters</t>
  </si>
  <si>
    <t>Own fleet</t>
  </si>
  <si>
    <t>Fast urban expansion</t>
  </si>
  <si>
    <t>Burned cash, fell from $2.5B</t>
  </si>
  <si>
    <t>Unit economics matter</t>
  </si>
  <si>
    <t>HelloRide (Hellobike)</t>
  </si>
  <si>
    <t>China</t>
  </si>
  <si>
    <t>Shared bikes</t>
  </si>
  <si>
    <t>Own fleet at scale</t>
  </si>
  <si>
    <t>Massive operational scale</t>
  </si>
  <si>
    <t>Margin pressure</t>
  </si>
  <si>
    <t>Operational excellence</t>
  </si>
  <si>
    <t>Zoomcar</t>
  </si>
  <si>
    <t>India</t>
  </si>
  <si>
    <t>Self-drive cars</t>
  </si>
  <si>
    <t>Marketplace + own</t>
  </si>
  <si>
    <t>Indian localization</t>
  </si>
  <si>
    <t>Stock fell post-SPAC, trust issues</t>
  </si>
  <si>
    <t>Localize deeply</t>
  </si>
  <si>
    <t>Royal Brothers</t>
  </si>
  <si>
    <t>Bike rentals</t>
  </si>
  <si>
    <t>Hybrid own/franchise</t>
  </si>
  <si>
    <t>Operational discipline</t>
  </si>
  <si>
    <t>Single category, weak brand</t>
  </si>
  <si>
    <t>Don't stay 1 category</t>
  </si>
  <si>
    <t>SharePal</t>
  </si>
  <si>
    <t>Lifestyle/Gear</t>
  </si>
  <si>
    <t>Inventory + vendor</t>
  </si>
  <si>
    <t>Wide product catalog</t>
  </si>
  <si>
    <t>Low frequency, weak retention</t>
  </si>
  <si>
    <t>Build daily habit</t>
  </si>
  <si>
    <t>Peerspace</t>
  </si>
  <si>
    <t>Event spaces</t>
  </si>
  <si>
    <t>Niche monetization</t>
  </si>
  <si>
    <t>Limited scale</t>
  </si>
  <si>
    <t>Niche → expand</t>
  </si>
  <si>
    <t>Spinlister</t>
  </si>
  <si>
    <t>Sports gear</t>
  </si>
  <si>
    <t>P2P Community</t>
  </si>
  <si>
    <t>Community-driven</t>
  </si>
  <si>
    <t>Shut down due to weak demand</t>
  </si>
  <si>
    <t>Demand validation first</t>
  </si>
  <si>
    <t>COMPETITOR COMPARISON MATRIX (1-5 score)</t>
  </si>
  <si>
    <t>Brand Strength</t>
  </si>
  <si>
    <t>Tech/AI</t>
  </si>
  <si>
    <t>Logistics</t>
  </si>
  <si>
    <t>Trust</t>
  </si>
  <si>
    <t>Multi-Category</t>
  </si>
  <si>
    <t>Retention</t>
  </si>
  <si>
    <t>Total</t>
  </si>
  <si>
    <t>HelloRide</t>
  </si>
  <si>
    <t>OUR PLATFORM (target)</t>
  </si>
  <si>
    <t>ROYAL BROTHERS — 20 WEAKNESSES &amp; GAPS</t>
  </si>
  <si>
    <t>Weakness / Gap</t>
  </si>
  <si>
    <t>Impact</t>
  </si>
  <si>
    <t>Our Counter-Move</t>
  </si>
  <si>
    <t>Single category (bikes only)</t>
  </si>
  <si>
    <t>Low frequency, no cross-sell</t>
  </si>
  <si>
    <t>Multi-category superapp</t>
  </si>
  <si>
    <t>Weak brand recall outside South India</t>
  </si>
  <si>
    <t>Limits expansion</t>
  </si>
  <si>
    <t>National brand + SEO + influencers</t>
  </si>
  <si>
    <t>Poor app UX &amp; outdated UI</t>
  </si>
  <si>
    <t>High drop-off, low conversion</t>
  </si>
  <si>
    <t>Modern AI-first UX</t>
  </si>
  <si>
    <t>Limited AI / personalization</t>
  </si>
  <si>
    <t>Generic listings</t>
  </si>
  <si>
    <t>Intent-based AI recommendations</t>
  </si>
  <si>
    <t>No instant delivery</t>
  </si>
  <si>
    <t>Pickup only at hubs</t>
  </si>
  <si>
    <t>15-30 min hyperlocal delivery</t>
  </si>
  <si>
    <t>Inconsistent bike quality</t>
  </si>
  <si>
    <t>Trust issues, complaints</t>
  </si>
  <si>
    <t>Standardized inspections + grading</t>
  </si>
  <si>
    <t>Refund disputes &amp; deposit holds</t>
  </si>
  <si>
    <t>Negative reviews on Reddit/Trustpilot</t>
  </si>
  <si>
    <t>Instant refunds + escrow system</t>
  </si>
  <si>
    <t>Manual KYC / slow onboarding</t>
  </si>
  <si>
    <t>Friction at signup</t>
  </si>
  <si>
    <t>DigiLocker + 30-sec KYC</t>
  </si>
  <si>
    <t>Limited insurance clarity</t>
  </si>
  <si>
    <t>Customer fear of damages</t>
  </si>
  <si>
    <t>Bundled insurance, transparent T&amp;Cs</t>
  </si>
  <si>
    <t>No vendor SaaS / aggregation play</t>
  </si>
  <si>
    <t>Stuck on own fleet model</t>
  </si>
  <si>
    <t>Open vendor onboarding + tools</t>
  </si>
  <si>
    <t>No subscriptions / memberships</t>
  </si>
  <si>
    <t>Low retention</t>
  </si>
  <si>
    <t>Monthly/annual rental passes</t>
  </si>
  <si>
    <t>Weak community building</t>
  </si>
  <si>
    <t>No advocacy</t>
  </si>
  <si>
    <t>Riders club + UGC + events</t>
  </si>
  <si>
    <t>No programmatic SEO</t>
  </si>
  <si>
    <t>Loses to Google</t>
  </si>
  <si>
    <t>City × category × use-case pages</t>
  </si>
  <si>
    <t>Limited tier-2/3 city presence</t>
  </si>
  <si>
    <t>Caps TAM</t>
  </si>
  <si>
    <t>Franchise + asset-light expansion</t>
  </si>
  <si>
    <t>No corporate / B2B vertical</t>
  </si>
  <si>
    <t>Misses large contracts</t>
  </si>
  <si>
    <t>B2B portal for corporates</t>
  </si>
  <si>
    <t>Customer support is slow &amp; manual</t>
  </si>
  <si>
    <t>Bad reviews</t>
  </si>
  <si>
    <t>24/7 AI chat + WhatsApp</t>
  </si>
  <si>
    <t>No loyalty / referral engine</t>
  </si>
  <si>
    <t>Low organic growth</t>
  </si>
  <si>
    <t>Tiered rewards + referral cashback</t>
  </si>
  <si>
    <t>Pricing not dynamic</t>
  </si>
  <si>
    <t>Revenue leak</t>
  </si>
  <si>
    <t>AI dynamic pricing engine</t>
  </si>
  <si>
    <t>No data moat / analytics for vendors</t>
  </si>
  <si>
    <t>Vendors stay independent</t>
  </si>
  <si>
    <t>Vendor dashboards &amp; insights</t>
  </si>
  <si>
    <t>No event/wedding/travel bundles</t>
  </si>
  <si>
    <t>Misses occasion-based demand</t>
  </si>
  <si>
    <t>Curated rental bundles</t>
  </si>
  <si>
    <t>SHAREPAL — STRENGTHS, WEAKNESSES &amp; GAPS</t>
  </si>
  <si>
    <t>STRENGTHS</t>
  </si>
  <si>
    <t>Strength</t>
  </si>
  <si>
    <t>Why it matters</t>
  </si>
  <si>
    <t>Wide product catalog (cameras, gear, lifestyle)</t>
  </si>
  <si>
    <t>Multi-category proof</t>
  </si>
  <si>
    <t>Asset-light marketplace</t>
  </si>
  <si>
    <t>Scalable model</t>
  </si>
  <si>
    <t>Decent web presence + SEO</t>
  </si>
  <si>
    <t>Inbound traffic</t>
  </si>
  <si>
    <t>Vendor onboarding flow</t>
  </si>
  <si>
    <t>Foundation for SaaS</t>
  </si>
  <si>
    <t>Early mover in lifestyle rentals</t>
  </si>
  <si>
    <t>Brand mindshare among niche users</t>
  </si>
  <si>
    <t>WEAKNESSES</t>
  </si>
  <si>
    <t>Weakness</t>
  </si>
  <si>
    <t>Low rental frequency per user</t>
  </si>
  <si>
    <t>Weak retention/LTV</t>
  </si>
  <si>
    <t>No instant/hyperlocal delivery</t>
  </si>
  <si>
    <t>Convenience gap</t>
  </si>
  <si>
    <t>Inconsistent product quality across vendors</t>
  </si>
  <si>
    <t>Trust erosion</t>
  </si>
  <si>
    <t>No standardized inspections</t>
  </si>
  <si>
    <t>Damage disputes</t>
  </si>
  <si>
    <t>Weak mobile app experience</t>
  </si>
  <si>
    <t>Drop-off</t>
  </si>
  <si>
    <t>Limited AI / discovery</t>
  </si>
  <si>
    <t>Generic search</t>
  </si>
  <si>
    <t>No subscription / membership model</t>
  </si>
  <si>
    <t>No recurring revenue</t>
  </si>
  <si>
    <t>Weak community / UGC</t>
  </si>
  <si>
    <t>No virality</t>
  </si>
  <si>
    <t>No B2B vertical</t>
  </si>
  <si>
    <t>Misses large GMV</t>
  </si>
  <si>
    <t>Limited tier-2 city expansion</t>
  </si>
  <si>
    <t>STRATEGIC GAPS WE EXPLOIT</t>
  </si>
  <si>
    <t>Gap</t>
  </si>
  <si>
    <t>Our Approach</t>
  </si>
  <si>
    <t>Daily-use categories + subscriptions</t>
  </si>
  <si>
    <t>Hyperlocal logistics</t>
  </si>
  <si>
    <t>Dark hubs + 15-30 min delivery</t>
  </si>
  <si>
    <t>Trust standardization</t>
  </si>
  <si>
    <t>OYO-style consistency, inspections</t>
  </si>
  <si>
    <t>AI-first discovery</t>
  </si>
  <si>
    <t>Intent + recommendation engine</t>
  </si>
  <si>
    <t>Vendor SaaS</t>
  </si>
  <si>
    <t>CRM, analytics, dynamic pricing</t>
  </si>
  <si>
    <t>Community</t>
  </si>
  <si>
    <t>Clubs, creators, events</t>
  </si>
  <si>
    <t>OUR EDGE — 20 WAYS WE WIN</t>
  </si>
  <si>
    <t>Edge / Differentiator</t>
  </si>
  <si>
    <t>Why Competitors Lag</t>
  </si>
  <si>
    <t>How We Win</t>
  </si>
  <si>
    <t>Most are single-category</t>
  </si>
  <si>
    <t>One app for everything rentable</t>
  </si>
  <si>
    <t>Static catalogs</t>
  </si>
  <si>
    <t>Intent + LLM recommendations</t>
  </si>
  <si>
    <t>Hyperlocal 15-30 min delivery</t>
  </si>
  <si>
    <t>Pickup-only models</t>
  </si>
  <si>
    <t>Dark rental hubs in metros</t>
  </si>
  <si>
    <t>Standardized trust system</t>
  </si>
  <si>
    <t>Inconsistent quality</t>
  </si>
  <si>
    <t>Inspections, grading, insurance</t>
  </si>
  <si>
    <t>Instant refunds &amp; escrow</t>
  </si>
  <si>
    <t>Manual disputes</t>
  </si>
  <si>
    <t>Auto-refund via escrow</t>
  </si>
  <si>
    <t>Vendor SaaS / OS</t>
  </si>
  <si>
    <t>Vendors fragmented</t>
  </si>
  <si>
    <t>Low Google visibility</t>
  </si>
  <si>
    <t>Thousands of city×cat pages</t>
  </si>
  <si>
    <t>WhatsApp-native UX</t>
  </si>
  <si>
    <t>App-only competitors</t>
  </si>
  <si>
    <t>Booking + support via WhatsApp</t>
  </si>
  <si>
    <t>Subscriptions &amp; memberships</t>
  </si>
  <si>
    <t>Transactional only</t>
  </si>
  <si>
    <t>Monthly passes, riders club</t>
  </si>
  <si>
    <t>Community &amp; UGC</t>
  </si>
  <si>
    <t>Creators, reels, clubs, events</t>
  </si>
  <si>
    <t>B2B / corporate vertical</t>
  </si>
  <si>
    <t>Missed by others</t>
  </si>
  <si>
    <t>Corporate portal, GST invoices</t>
  </si>
  <si>
    <t>AI dynamic pricing</t>
  </si>
  <si>
    <t>Flat pricing</t>
  </si>
  <si>
    <t>Demand-based surge &amp; discounts</t>
  </si>
  <si>
    <t>DigiLocker KYC</t>
  </si>
  <si>
    <t>Slow onboarding</t>
  </si>
  <si>
    <t>30-second verification</t>
  </si>
  <si>
    <t>Damage AI inspection</t>
  </si>
  <si>
    <t>Manual claims</t>
  </si>
  <si>
    <t>Photo-based AI damage detection</t>
  </si>
  <si>
    <t>Loyalty &amp; referral engine</t>
  </si>
  <si>
    <t>Weak</t>
  </si>
  <si>
    <t>Tiered points + cashback</t>
  </si>
  <si>
    <t>Occasion bundles</t>
  </si>
  <si>
    <t>Misses use-cases</t>
  </si>
  <si>
    <t>Wedding, trek, travel bundles</t>
  </si>
  <si>
    <t>Franchise &amp; asset-light expansion</t>
  </si>
  <si>
    <t>Capex heavy</t>
  </si>
  <si>
    <t>Vendor franchises in tier-2/3</t>
  </si>
  <si>
    <t>Data moat</t>
  </si>
  <si>
    <t>No data leverage</t>
  </si>
  <si>
    <t>Behavioral + ops data flywheel</t>
  </si>
  <si>
    <t>Trust score for users &amp; vendors</t>
  </si>
  <si>
    <t>Anonymous P2P</t>
  </si>
  <si>
    <t>Verified two-sided ratings</t>
  </si>
  <si>
    <t>Insurance bundling</t>
  </si>
  <si>
    <t>Confusing T&amp;Cs</t>
  </si>
  <si>
    <t>Transparent built-in coverage</t>
  </si>
  <si>
    <t>TECHNOLOGY STACK</t>
  </si>
  <si>
    <t>Layer</t>
  </si>
  <si>
    <t>Technology</t>
  </si>
  <si>
    <t>Purpose</t>
  </si>
  <si>
    <t>Rationale</t>
  </si>
  <si>
    <t>Mobile App (iOS/Android)</t>
  </si>
  <si>
    <t>React Native + Expo</t>
  </si>
  <si>
    <t>Cross-platform</t>
  </si>
  <si>
    <t>Speed of dev, single codebase</t>
  </si>
  <si>
    <t>Web App</t>
  </si>
  <si>
    <t>Next.js 14 + React + Tailwind</t>
  </si>
  <si>
    <t>SSR, SEO</t>
  </si>
  <si>
    <t>Programmatic SEO friendly</t>
  </si>
  <si>
    <t>Backend API</t>
  </si>
  <si>
    <t>Node.js + NestJS (TypeScript)</t>
  </si>
  <si>
    <t>Microservices</t>
  </si>
  <si>
    <t>Type safety, async, scalable</t>
  </si>
  <si>
    <t>Realtime</t>
  </si>
  <si>
    <t>Socket.io / WebSockets</t>
  </si>
  <si>
    <t>Chat, tracking</t>
  </si>
  <si>
    <t>Driver + booking updates</t>
  </si>
  <si>
    <t>Primary DB</t>
  </si>
  <si>
    <t>PostgreSQL (RDS / Supabase)</t>
  </si>
  <si>
    <t>Transactional</t>
  </si>
  <si>
    <t>ACID, mature, JSONB support</t>
  </si>
  <si>
    <t>Search DB</t>
  </si>
  <si>
    <t>Elasticsearch / Meilisearch</t>
  </si>
  <si>
    <t>Catalog search</t>
  </si>
  <si>
    <t>Fast facet search</t>
  </si>
  <si>
    <t>Cache</t>
  </si>
  <si>
    <t>Redis</t>
  </si>
  <si>
    <t>Sessions, rate limits</t>
  </si>
  <si>
    <t>Sub-ms reads</t>
  </si>
  <si>
    <t>Queue / Streaming</t>
  </si>
  <si>
    <t>Kafka / RabbitMQ</t>
  </si>
  <si>
    <t>Async events</t>
  </si>
  <si>
    <t>Decoupled microservices</t>
  </si>
  <si>
    <t>Object Storage</t>
  </si>
  <si>
    <t>AWS S3 + CloudFront</t>
  </si>
  <si>
    <t>Images, KYC docs</t>
  </si>
  <si>
    <t>CDN delivery</t>
  </si>
  <si>
    <t>Cloud</t>
  </si>
  <si>
    <t>AWS (primary) / GCP</t>
  </si>
  <si>
    <t>Hosting</t>
  </si>
  <si>
    <t>ECS Fargate, RDS, S3, SES</t>
  </si>
  <si>
    <t>Container Orchestration</t>
  </si>
  <si>
    <t>Kubernetes / ECS</t>
  </si>
  <si>
    <t>Deploy</t>
  </si>
  <si>
    <t>Auto-scaling</t>
  </si>
  <si>
    <t>CI/CD</t>
  </si>
  <si>
    <t>GitHub Actions + ArgoCD</t>
  </si>
  <si>
    <t>Pipelines</t>
  </si>
  <si>
    <t>GitOps</t>
  </si>
  <si>
    <t>Monitoring</t>
  </si>
  <si>
    <t>Datadog + Sentry</t>
  </si>
  <si>
    <t>Observability</t>
  </si>
  <si>
    <t>APM + error tracking</t>
  </si>
  <si>
    <t>Payments</t>
  </si>
  <si>
    <t>Razorpay + UPI + Stripe</t>
  </si>
  <si>
    <t>Checkout</t>
  </si>
  <si>
    <t>India + global</t>
  </si>
  <si>
    <t>KYC</t>
  </si>
  <si>
    <t>DigiLocker + Hyperverge</t>
  </si>
  <si>
    <t>Identity</t>
  </si>
  <si>
    <t>Aadhaar/DL verification</t>
  </si>
  <si>
    <t>Maps &amp; Logistics</t>
  </si>
  <si>
    <t>Google Maps + Mapbox + Locus</t>
  </si>
  <si>
    <t>Delivery</t>
  </si>
  <si>
    <t>Routing + ETA</t>
  </si>
  <si>
    <t>AI / LLM</t>
  </si>
  <si>
    <t>OpenAI GPT-4o + Claude + Llama</t>
  </si>
  <si>
    <t>Discovery, support</t>
  </si>
  <si>
    <t>Hybrid LLM stack</t>
  </si>
  <si>
    <t>Vector DB</t>
  </si>
  <si>
    <t>Pinecone / pgvector</t>
  </si>
  <si>
    <t>Recommendations</t>
  </si>
  <si>
    <t>Semantic search</t>
  </si>
  <si>
    <t>Analytics</t>
  </si>
  <si>
    <t>Mixpanel + Amplitude + GA4</t>
  </si>
  <si>
    <t>Product</t>
  </si>
  <si>
    <t>Funnels, retention</t>
  </si>
  <si>
    <t>Data Warehouse</t>
  </si>
  <si>
    <t>Snowflake / BigQuery</t>
  </si>
  <si>
    <t>BI</t>
  </si>
  <si>
    <t>Vendor analytics</t>
  </si>
  <si>
    <t>BI / Dashboards</t>
  </si>
  <si>
    <t>Metabase / Looker</t>
  </si>
  <si>
    <t>Reporting</t>
  </si>
  <si>
    <t>Internal + vendor</t>
  </si>
  <si>
    <t>Communication</t>
  </si>
  <si>
    <t>Twilio + MSG91 + WhatsApp Cloud API</t>
  </si>
  <si>
    <t>SMS/WA</t>
  </si>
  <si>
    <t>India coverage</t>
  </si>
  <si>
    <t>Notifications</t>
  </si>
  <si>
    <t>FCM + APNS + OneSignal</t>
  </si>
  <si>
    <t>Push</t>
  </si>
  <si>
    <t>Multi-channel</t>
  </si>
  <si>
    <t>Security</t>
  </si>
  <si>
    <t>Auth0 / Cognito + JWT</t>
  </si>
  <si>
    <t>Auth</t>
  </si>
  <si>
    <t>OAuth, MFA, RBAC</t>
  </si>
  <si>
    <t>MICROSERVICES &amp; CORE MODULES</t>
  </si>
  <si>
    <t>Service / Module</t>
  </si>
  <si>
    <t>Responsibility</t>
  </si>
  <si>
    <t>Key APIs</t>
  </si>
  <si>
    <t>User Service</t>
  </si>
  <si>
    <t>Profiles, auth, KYC</t>
  </si>
  <si>
    <t>/users, /kyc, /auth</t>
  </si>
  <si>
    <t>Vendor Service</t>
  </si>
  <si>
    <t>Vendor onboarding, KYC, payouts</t>
  </si>
  <si>
    <t>/vendors, /onboarding</t>
  </si>
  <si>
    <t>Catalog Service</t>
  </si>
  <si>
    <t>Listings, categories, inventory</t>
  </si>
  <si>
    <t>/listings, /categories</t>
  </si>
  <si>
    <t>Search Service</t>
  </si>
  <si>
    <t>Faceted search, AI ranking</t>
  </si>
  <si>
    <t>/search, /suggest</t>
  </si>
  <si>
    <t>Recommendation Service</t>
  </si>
  <si>
    <t>Personalized feed</t>
  </si>
  <si>
    <t>/recos, /trending</t>
  </si>
  <si>
    <t>Booking Service</t>
  </si>
  <si>
    <t>Cart, booking, lifecycle</t>
  </si>
  <si>
    <t>/bookings, /availability</t>
  </si>
  <si>
    <t>Pricing Engine</t>
  </si>
  <si>
    <t>Dynamic pricing, surge</t>
  </si>
  <si>
    <t>/price/quote</t>
  </si>
  <si>
    <t>Payment Service</t>
  </si>
  <si>
    <t>Razorpay, escrow, refunds</t>
  </si>
  <si>
    <t>/payments, /refunds</t>
  </si>
  <si>
    <t>Wallet Service</t>
  </si>
  <si>
    <t>Wallet, cashback, credits</t>
  </si>
  <si>
    <t>/wallet, /credits</t>
  </si>
  <si>
    <t>Logistics Service</t>
  </si>
  <si>
    <t>Delivery, dispatch, tracking</t>
  </si>
  <si>
    <t>/deliveries, /tracking</t>
  </si>
  <si>
    <t>Inspection Service</t>
  </si>
  <si>
    <t>Pre/post checks, AI damage</t>
  </si>
  <si>
    <t>/inspections</t>
  </si>
  <si>
    <t>Insurance Service</t>
  </si>
  <si>
    <t>Policy, claims</t>
  </si>
  <si>
    <t>/insurance</t>
  </si>
  <si>
    <t>Trust &amp; Safety</t>
  </si>
  <si>
    <t>Fraud, ratings, blacklists</t>
  </si>
  <si>
    <t>/trust, /fraud</t>
  </si>
  <si>
    <t>Reviews Service</t>
  </si>
  <si>
    <t>Two-way ratings</t>
  </si>
  <si>
    <t>/reviews</t>
  </si>
  <si>
    <t>Notification Service</t>
  </si>
  <si>
    <t>Push, SMS, WA, email</t>
  </si>
  <si>
    <t>/notify</t>
  </si>
  <si>
    <t>Chat Service</t>
  </si>
  <si>
    <t>Realtime chat, support</t>
  </si>
  <si>
    <t>/chat</t>
  </si>
  <si>
    <t>AI Service</t>
  </si>
  <si>
    <t>LLM orchestration</t>
  </si>
  <si>
    <t>/ai/chat, /ai/reco</t>
  </si>
  <si>
    <t>Subscription Service</t>
  </si>
  <si>
    <t>Memberships, passes</t>
  </si>
  <si>
    <t>/subs</t>
  </si>
  <si>
    <t>Loyalty Service</t>
  </si>
  <si>
    <t>Points, tiers, referrals</t>
  </si>
  <si>
    <t>/loyalty, /referrals</t>
  </si>
  <si>
    <t>B2B Service</t>
  </si>
  <si>
    <t>Corporate bookings, invoices</t>
  </si>
  <si>
    <t>/b2b</t>
  </si>
  <si>
    <t>Analytics Service</t>
  </si>
  <si>
    <t>Events ingestion</t>
  </si>
  <si>
    <t>/events</t>
  </si>
  <si>
    <t>Vendor Dashboard API</t>
  </si>
  <si>
    <t>CRM, analytics, payouts</t>
  </si>
  <si>
    <t>/vendor/dashboard</t>
  </si>
  <si>
    <t>Admin Service</t>
  </si>
  <si>
    <t>Backoffice, ops</t>
  </si>
  <si>
    <t>/admin</t>
  </si>
  <si>
    <t>CMS Service</t>
  </si>
  <si>
    <t>Banners, SEO pages</t>
  </si>
  <si>
    <t>/cms, /seo</t>
  </si>
  <si>
    <t>SEO/Page Service</t>
  </si>
  <si>
    <t>Programmatic city×cat pages</t>
  </si>
  <si>
    <t>/p/:city/:cat</t>
  </si>
  <si>
    <t>BUSINESS MODEL &amp; REVENUE STREAMS</t>
  </si>
  <si>
    <t>Revenue Stream</t>
  </si>
  <si>
    <t>Margin / Notes</t>
  </si>
  <si>
    <t>Commission on rentals</t>
  </si>
  <si>
    <t>15-25% take rate from vendors</t>
  </si>
  <si>
    <t>Core GMV revenue</t>
  </si>
  <si>
    <t>Delivery fees</t>
  </si>
  <si>
    <t>Logistics charges to users</t>
  </si>
  <si>
    <t>Margin 20-40%</t>
  </si>
  <si>
    <t>Insurance commission</t>
  </si>
  <si>
    <t>Bundled insurance on rentals</t>
  </si>
  <si>
    <t>30-50% commission</t>
  </si>
  <si>
    <t>Subscription / Membership</t>
  </si>
  <si>
    <t>Monthly/yearly passes</t>
  </si>
  <si>
    <t>Recurring, high margin</t>
  </si>
  <si>
    <t>CRM, analytics, pricing tools</t>
  </si>
  <si>
    <t>SaaS 70-80% margin</t>
  </si>
  <si>
    <t>Listing promotion / ads</t>
  </si>
  <si>
    <t>Vendors pay for visibility</t>
  </si>
  <si>
    <t>High margin ads</t>
  </si>
  <si>
    <t>B2B corporate contracts</t>
  </si>
  <si>
    <t>Bulk + recurring</t>
  </si>
  <si>
    <t>Large GMV, lower take</t>
  </si>
  <si>
    <t>Late fees &amp; damage charges</t>
  </si>
  <si>
    <t>Penalties</t>
  </si>
  <si>
    <t>Pure margin</t>
  </si>
  <si>
    <t>Wallet float / interest</t>
  </si>
  <si>
    <t>Float on deposits</t>
  </si>
  <si>
    <t>Low but compounding</t>
  </si>
  <si>
    <t>White-label / API licensing</t>
  </si>
  <si>
    <t>Power other rental apps</t>
  </si>
  <si>
    <t>SaaS / take rate</t>
  </si>
  <si>
    <t>Affiliate revenue</t>
  </si>
  <si>
    <t>Cross-sell travel, events</t>
  </si>
  <si>
    <t>Commission</t>
  </si>
  <si>
    <t>Data &amp; insights (B2B)</t>
  </si>
  <si>
    <t>Anonymized market data</t>
  </si>
  <si>
    <t>High margin</t>
  </si>
  <si>
    <t>REVENUE MIX TARGET (Year 3)</t>
  </si>
  <si>
    <t>Stream</t>
  </si>
  <si>
    <t>% of Revenue</t>
  </si>
  <si>
    <t>Subscription</t>
  </si>
  <si>
    <t>Ads / Promotion</t>
  </si>
  <si>
    <t>B2B</t>
  </si>
  <si>
    <t>Insurance &amp; Other</t>
  </si>
  <si>
    <t>ORG STRUCTURE &amp; KEY ROLES</t>
  </si>
  <si>
    <t>Role</t>
  </si>
  <si>
    <t>Function</t>
  </si>
  <si>
    <t>Year 1 Headcount</t>
  </si>
  <si>
    <t>Key Responsibilities</t>
  </si>
  <si>
    <t>CEO</t>
  </si>
  <si>
    <t>Leadership / Strategy</t>
  </si>
  <si>
    <t>Vision, fundraising, hiring, P&amp;L</t>
  </si>
  <si>
    <t>CTO</t>
  </si>
  <si>
    <t>Architecture, hiring eng, infra</t>
  </si>
  <si>
    <t>COO</t>
  </si>
  <si>
    <t>Operations</t>
  </si>
  <si>
    <t>Logistics, vendor ops, city expansion</t>
  </si>
  <si>
    <t>CMO</t>
  </si>
  <si>
    <t>Marketing</t>
  </si>
  <si>
    <t>Brand, growth, SEO, performance</t>
  </si>
  <si>
    <t>CFO / Head of Finance</t>
  </si>
  <si>
    <t>Unit economics, fundraising, compliance</t>
  </si>
  <si>
    <t>VP Product</t>
  </si>
  <si>
    <t>Roadmap, UX, research</t>
  </si>
  <si>
    <t>Head of Engineering</t>
  </si>
  <si>
    <t>Engineering</t>
  </si>
  <si>
    <t>Tech delivery, code quality</t>
  </si>
  <si>
    <t>Head of Data / AI</t>
  </si>
  <si>
    <t>Data Science</t>
  </si>
  <si>
    <t>AI models, analytics, recos</t>
  </si>
  <si>
    <t>Head of Vendor Success</t>
  </si>
  <si>
    <t>Supply</t>
  </si>
  <si>
    <t>Vendor onboarding &amp; retention</t>
  </si>
  <si>
    <t>Head of Trust &amp; Safety</t>
  </si>
  <si>
    <t>Fraud, disputes, insurance</t>
  </si>
  <si>
    <t>Head of Customer Support</t>
  </si>
  <si>
    <t>CX</t>
  </si>
  <si>
    <t>24x7 support, NPS</t>
  </si>
  <si>
    <t>Head of Legal</t>
  </si>
  <si>
    <t>Legal</t>
  </si>
  <si>
    <t>Compliance, contracts</t>
  </si>
  <si>
    <t>Frontend Engineers</t>
  </si>
  <si>
    <t>Eng</t>
  </si>
  <si>
    <t>Web + mobile</t>
  </si>
  <si>
    <t>Backend Engineers</t>
  </si>
  <si>
    <t>Microservices APIs</t>
  </si>
  <si>
    <t>Mobile Engineers</t>
  </si>
  <si>
    <t>iOS/Android</t>
  </si>
  <si>
    <t>DevOps / SRE</t>
  </si>
  <si>
    <t>Infra, monitoring</t>
  </si>
  <si>
    <t>Data Engineers</t>
  </si>
  <si>
    <t>Data</t>
  </si>
  <si>
    <t>Warehouse, pipelines</t>
  </si>
  <si>
    <t>ML Engineers</t>
  </si>
  <si>
    <t>AI</t>
  </si>
  <si>
    <t>Recos, pricing, AI</t>
  </si>
  <si>
    <t>Product Managers</t>
  </si>
  <si>
    <t>Feature delivery</t>
  </si>
  <si>
    <t>Designers (UX/UI)</t>
  </si>
  <si>
    <t>App + brand</t>
  </si>
  <si>
    <t>Growth Marketers</t>
  </si>
  <si>
    <t>Paid + organic</t>
  </si>
  <si>
    <t>Content / SEO</t>
  </si>
  <si>
    <t>City Operations Managers</t>
  </si>
  <si>
    <t>Ops</t>
  </si>
  <si>
    <t>Per launch city</t>
  </si>
  <si>
    <t>Vendor Onboarding Execs</t>
  </si>
  <si>
    <t>Sign vendors</t>
  </si>
  <si>
    <t>Customer Support Agents</t>
  </si>
  <si>
    <t>24x7 chat/calls</t>
  </si>
  <si>
    <t>Finance / Accounting</t>
  </si>
  <si>
    <t>Books, payouts</t>
  </si>
  <si>
    <t>HR / People Ops</t>
  </si>
  <si>
    <t>Hiring, culture</t>
  </si>
  <si>
    <t>TOTAL</t>
  </si>
  <si>
    <t>LEGAL, REGULATORY &amp; COMPLIANCE RISKS</t>
  </si>
  <si>
    <t>Risk Area</t>
  </si>
  <si>
    <t>Mitigation</t>
  </si>
  <si>
    <t>Vehicle rental permits</t>
  </si>
  <si>
    <t>RTO regulations vary by state</t>
  </si>
  <si>
    <t>Partner with RTO-licensed vendors / yellow plates</t>
  </si>
  <si>
    <t>Insurance compliance</t>
  </si>
  <si>
    <t>IRDAI regulated</t>
  </si>
  <si>
    <t>Tie up with licensed insurers (ICICI Lombard, Acko)</t>
  </si>
  <si>
    <t>KYC &amp; AML</t>
  </si>
  <si>
    <t>RBI KYC norms</t>
  </si>
  <si>
    <t>DigiLocker, Aadhaar offline, PML checks</t>
  </si>
  <si>
    <t>Data Privacy (DPDPA 2023)</t>
  </si>
  <si>
    <t>India data protection</t>
  </si>
  <si>
    <t>Consent flows, data localization, DPO</t>
  </si>
  <si>
    <t>GST compliance</t>
  </si>
  <si>
    <t>18% on services</t>
  </si>
  <si>
    <t>Auto GST invoicing, ITC for vendors</t>
  </si>
  <si>
    <t>Consumer Protection Act</t>
  </si>
  <si>
    <t>Refund/quality complaints</t>
  </si>
  <si>
    <t>Clear T&amp;Cs, refund SLA, escrow</t>
  </si>
  <si>
    <t>Vendor contracts</t>
  </si>
  <si>
    <t>Liability allocation</t>
  </si>
  <si>
    <t>Standard vendor agreement, indemnity</t>
  </si>
  <si>
    <t>Damage / theft liability</t>
  </si>
  <si>
    <t>Who pays</t>
  </si>
  <si>
    <t>Bundled insurance + security deposits</t>
  </si>
  <si>
    <t>Driver/rider verification</t>
  </si>
  <si>
    <t>Identity fraud</t>
  </si>
  <si>
    <t>KYC + driving license verification</t>
  </si>
  <si>
    <t>Two-wheeler helmet/safety</t>
  </si>
  <si>
    <t>MV Act compliance</t>
  </si>
  <si>
    <t>Helmet included, safety briefing</t>
  </si>
  <si>
    <t>Tax on user deposits</t>
  </si>
  <si>
    <t>Treatment of float</t>
  </si>
  <si>
    <t>Segregated escrow accounts</t>
  </si>
  <si>
    <t>Foreign exchange / FEMA</t>
  </si>
  <si>
    <t>If foreign cards</t>
  </si>
  <si>
    <t>RBI compliant payment gateway</t>
  </si>
  <si>
    <t>Labor laws (delivery)</t>
  </si>
  <si>
    <t>Gig worker rules</t>
  </si>
  <si>
    <t>Code on Social Security compliance</t>
  </si>
  <si>
    <t>Trademark &amp; IP</t>
  </si>
  <si>
    <t>Brand protection</t>
  </si>
  <si>
    <t>Register marks, copyrights</t>
  </si>
  <si>
    <t>Cybersecurity (CERT-In)</t>
  </si>
  <si>
    <t>Breach notification</t>
  </si>
  <si>
    <t>6-hour CERT-In reporting, SOC2</t>
  </si>
  <si>
    <t>Anti-fraud / chargebacks</t>
  </si>
  <si>
    <t>Payment fraud</t>
  </si>
  <si>
    <t>Risk engine, 3DS, velocity checks</t>
  </si>
  <si>
    <t>State-wise rental laws</t>
  </si>
  <si>
    <t>Maharashtra/Karnataka diff</t>
  </si>
  <si>
    <t>Localized compliance playbook</t>
  </si>
  <si>
    <t>Insurance claim disputes</t>
  </si>
  <si>
    <t>User vs insurer</t>
  </si>
  <si>
    <t>Clear coverage doc, AI damage logs</t>
  </si>
  <si>
    <t>Background checks for vendors</t>
  </si>
  <si>
    <t>Police verification, criminal record</t>
  </si>
  <si>
    <t>Disability access</t>
  </si>
  <si>
    <t>Equal access laws</t>
  </si>
  <si>
    <t>Accessible app + flows</t>
  </si>
  <si>
    <t>MARKETING — CHALLENGES &amp; SOLUTIONS</t>
  </si>
  <si>
    <t>Challenge</t>
  </si>
  <si>
    <t>Why it's hard</t>
  </si>
  <si>
    <t>Solution / Playbook</t>
  </si>
  <si>
    <t>Low brand awareness</t>
  </si>
  <si>
    <t>New entrant vs Royal Brothers</t>
  </si>
  <si>
    <t>Influencer + meme marketing + PR</t>
  </si>
  <si>
    <t>High CAC on Google/Meta</t>
  </si>
  <si>
    <t>Crowded auction</t>
  </si>
  <si>
    <t>Programmatic SEO + community + referrals</t>
  </si>
  <si>
    <t>Trust deficit</t>
  </si>
  <si>
    <t>Indian users skeptical of rentals</t>
  </si>
  <si>
    <t>Trust badges, reviews, money-back</t>
  </si>
  <si>
    <t>Vendor acquisition</t>
  </si>
  <si>
    <t>Convince vendors to onboard</t>
  </si>
  <si>
    <t>Field sales + SaaS value + zero fee for 90 days</t>
  </si>
  <si>
    <t>Rental is occasional</t>
  </si>
  <si>
    <t>Subscriptions, daily-use categories</t>
  </si>
  <si>
    <t>Multi-category positioning</t>
  </si>
  <si>
    <t>Confusing message</t>
  </si>
  <si>
    <t>Hero category per city, expand gradually</t>
  </si>
  <si>
    <t>Tier-2/3 city distribution</t>
  </si>
  <si>
    <t>Lower digital adoption</t>
  </si>
  <si>
    <t>WhatsApp marketing, regional influencers</t>
  </si>
  <si>
    <t>One-time use</t>
  </si>
  <si>
    <t>Loyalty, referrals, occasion bundles</t>
  </si>
  <si>
    <t>Seasonality</t>
  </si>
  <si>
    <t>Demand swings</t>
  </si>
  <si>
    <t>Cross-category portfolio balancing</t>
  </si>
  <si>
    <t>Word-of-mouth slow</t>
  </si>
  <si>
    <t>Trust + frequency</t>
  </si>
  <si>
    <t>Riders club, UGC, creator program</t>
  </si>
  <si>
    <t>Negative reviews</t>
  </si>
  <si>
    <t>Instant refund + transparent process</t>
  </si>
  <si>
    <t>Competing with own-buy mindset</t>
  </si>
  <si>
    <t>'I'll just buy it'</t>
  </si>
  <si>
    <t>Cost calculator, ROI messaging</t>
  </si>
  <si>
    <t>SEO competing with marketplaces</t>
  </si>
  <si>
    <t>OLX, Quikr</t>
  </si>
  <si>
    <t>Programmatic city×category×use-case</t>
  </si>
  <si>
    <t>App store discoverability</t>
  </si>
  <si>
    <t>Crowded</t>
  </si>
  <si>
    <t>ASO, paid UAC, deeplinks</t>
  </si>
  <si>
    <t>Performance plateau</t>
  </si>
  <si>
    <t>Channels saturate</t>
  </si>
  <si>
    <t>Diversify: WhatsApp, regional, OTT</t>
  </si>
  <si>
    <t>MARKETING CHANNELS &amp; BUDGET ALLOCATION (Year 1)</t>
  </si>
  <si>
    <t>Channel</t>
  </si>
  <si>
    <t>Allocation %</t>
  </si>
  <si>
    <t>Goal</t>
  </si>
  <si>
    <t>Programmatic SEO + Content</t>
  </si>
  <si>
    <t>Organic intent capture</t>
  </si>
  <si>
    <t>Influencer Marketing</t>
  </si>
  <si>
    <t>Awareness + trust</t>
  </si>
  <si>
    <t>Performance (Meta/Google)</t>
  </si>
  <si>
    <t>Conversion</t>
  </si>
  <si>
    <t>Referrals &amp; Loyalty</t>
  </si>
  <si>
    <t>Viral coefficient</t>
  </si>
  <si>
    <t>WhatsApp Marketing</t>
  </si>
  <si>
    <t>Tier-2/3 reach</t>
  </si>
  <si>
    <t>PR &amp; Brand</t>
  </si>
  <si>
    <t>Credibility</t>
  </si>
  <si>
    <t>Community / Events</t>
  </si>
  <si>
    <t>ASO &amp; Mobile UAC</t>
  </si>
  <si>
    <t>App installs</t>
  </si>
  <si>
    <t>Partnerships (corporate, travel)</t>
  </si>
  <si>
    <t>B2B + bundles</t>
  </si>
  <si>
    <t>5-MONTH MVP ROADMAP</t>
  </si>
  <si>
    <t>Phase</t>
  </si>
  <si>
    <t>Month</t>
  </si>
  <si>
    <t>Objectives</t>
  </si>
  <si>
    <t>Key Deliverables</t>
  </si>
  <si>
    <t>Success Metric</t>
  </si>
  <si>
    <t>Discovery &amp; Design</t>
  </si>
  <si>
    <t>Month 1</t>
  </si>
  <si>
    <t>User research, IA, design system</t>
  </si>
  <si>
    <t>UX wireframes, brand, design system, tech architecture</t>
  </si>
  <si>
    <t>Design system v1 + signed off PRDs</t>
  </si>
  <si>
    <t>Core Backend &amp; Infra</t>
  </si>
  <si>
    <t>Month 2</t>
  </si>
  <si>
    <t>Build core microservices</t>
  </si>
  <si>
    <t>User, Vendor, Catalog, Booking, Payment APIs; AWS infra; CI/CD</t>
  </si>
  <si>
    <t>All P0 APIs in staging</t>
  </si>
  <si>
    <t>Mobile + Web Apps</t>
  </si>
  <si>
    <t>Month 3</t>
  </si>
  <si>
    <t>Customer + Vendor apps</t>
  </si>
  <si>
    <t>React Native app, Next.js web, Vendor dashboard</t>
  </si>
  <si>
    <t>Apps in internal beta</t>
  </si>
  <si>
    <t>Logistics + Trust</t>
  </si>
  <si>
    <t>Month 4</t>
  </si>
  <si>
    <t>Delivery, inspections, KYC</t>
  </si>
  <si>
    <t>Delivery flow, inspection module, DigiLocker KYC, insurance</t>
  </si>
  <si>
    <t>100 test bookings, NPS &gt; 60</t>
  </si>
  <si>
    <t>Pilot Launch</t>
  </si>
  <si>
    <t>Month 5</t>
  </si>
  <si>
    <t>1 city, 2 categories</t>
  </si>
  <si>
    <t>Bengaluru launch (bikes + cameras), 50 vendors, marketing</t>
  </si>
  <si>
    <t>1000 bookings, 30% MoM growth</t>
  </si>
  <si>
    <t>POST-MVP ROADMAP (Months 6-12)</t>
  </si>
  <si>
    <t>Quarter</t>
  </si>
  <si>
    <t>Focus</t>
  </si>
  <si>
    <t>Cities</t>
  </si>
  <si>
    <t>Categories</t>
  </si>
  <si>
    <t>Q3 Y1</t>
  </si>
  <si>
    <t>Scale + AI</t>
  </si>
  <si>
    <t>BLR + HYD</t>
  </si>
  <si>
    <t>+ Furniture, Gaming</t>
  </si>
  <si>
    <t>10K bookings/mo</t>
  </si>
  <si>
    <t>Q4 Y1</t>
  </si>
  <si>
    <t>B2B + Subscription</t>
  </si>
  <si>
    <t>BLR, HYD, MUM</t>
  </si>
  <si>
    <t>+ Event gear</t>
  </si>
  <si>
    <t>25K bookings/mo, 5% sub adoption</t>
  </si>
  <si>
    <t>Q1 Y2</t>
  </si>
  <si>
    <t>Vendor SaaS launch</t>
  </si>
  <si>
    <t>5 cities</t>
  </si>
  <si>
    <t>All P0 categories</t>
  </si>
  <si>
    <t>100K bookings/mo, 500 vendors</t>
  </si>
  <si>
    <t>Q2 Y2</t>
  </si>
  <si>
    <t>Series A scale</t>
  </si>
  <si>
    <t>10 cities</t>
  </si>
  <si>
    <t>Full catalog</t>
  </si>
  <si>
    <t>250K bookings/mo, Series A close</t>
  </si>
  <si>
    <t>UNIT ECONOMICS &amp; FINANCIAL PROJECTIONS</t>
  </si>
  <si>
    <t>UNIT ECONOMICS PER BOOKING (₹)</t>
  </si>
  <si>
    <t>Value (INR)</t>
  </si>
  <si>
    <t>Average Order Value (AOV)</t>
  </si>
  <si>
    <t>Take Rate %</t>
  </si>
  <si>
    <t>Gross Revenue per Booking</t>
  </si>
  <si>
    <t>Delivery Fee</t>
  </si>
  <si>
    <t>Payment Gateway Cost (2%)</t>
  </si>
  <si>
    <t>Insurance Cost</t>
  </si>
  <si>
    <t>Customer Support Cost</t>
  </si>
  <si>
    <t>Logistics / Hub Cost</t>
  </si>
  <si>
    <t>Net Contribution per Booking</t>
  </si>
  <si>
    <t>5-YEAR REVENUE PROJECTION (₹ Crores)</t>
  </si>
  <si>
    <t>Year 1</t>
  </si>
  <si>
    <t>Year 2</t>
  </si>
  <si>
    <t>Year 3</t>
  </si>
  <si>
    <t>Year 4</t>
  </si>
  <si>
    <t>Year 5</t>
  </si>
  <si>
    <t>Bookings (Lakhs)</t>
  </si>
  <si>
    <t>AOV (₹)</t>
  </si>
  <si>
    <t>GMV (₹ Cr)</t>
  </si>
  <si>
    <t>Net Revenue (₹ Cr)</t>
  </si>
  <si>
    <t>Operating Costs (₹ Cr)</t>
  </si>
  <si>
    <t>EBITDA (₹ Cr)</t>
  </si>
  <si>
    <t>EBITDA Margin %</t>
  </si>
  <si>
    <t>UI/UX DESIGN — APP &amp; WEB SCREENS</t>
  </si>
  <si>
    <t>MOBILE APP SCREENS</t>
  </si>
  <si>
    <t>Screen</t>
  </si>
  <si>
    <t>Key Elements</t>
  </si>
  <si>
    <t>Splash + Onboarding</t>
  </si>
  <si>
    <t>First impression</t>
  </si>
  <si>
    <t>Brand, value prop, signup</t>
  </si>
  <si>
    <t>Login / Signup</t>
  </si>
  <si>
    <t>Phone OTP, Google, Apple</t>
  </si>
  <si>
    <t>KYC / DigiLocker</t>
  </si>
  <si>
    <t>Aadhaar/DL fetch</t>
  </si>
  <si>
    <t>Home / Discover</t>
  </si>
  <si>
    <t>Browse</t>
  </si>
  <si>
    <t>Categories, AI feed, search bar, location</t>
  </si>
  <si>
    <t>Category Listing</t>
  </si>
  <si>
    <t>Filters, sort, map view</t>
  </si>
  <si>
    <t>Product Detail</t>
  </si>
  <si>
    <t>Decision</t>
  </si>
  <si>
    <t>Photos, price, reviews, T&amp;Cs, vendor</t>
  </si>
  <si>
    <t>AI Search / Chat</t>
  </si>
  <si>
    <t>Discovery</t>
  </si>
  <si>
    <t>Natural language search</t>
  </si>
  <si>
    <t>Cart &amp; Checkout</t>
  </si>
  <si>
    <t>Dates, delivery, coupon</t>
  </si>
  <si>
    <t>Payment</t>
  </si>
  <si>
    <t>UPI, cards, wallet</t>
  </si>
  <si>
    <t>Booking Confirmation</t>
  </si>
  <si>
    <t>Reassurance</t>
  </si>
  <si>
    <t>OTP, vendor contact, timeline</t>
  </si>
  <si>
    <t>My Bookings</t>
  </si>
  <si>
    <t>Manage</t>
  </si>
  <si>
    <t>Active, upcoming, past</t>
  </si>
  <si>
    <t>Live Tracking</t>
  </si>
  <si>
    <t>Map, ETA, delivery agent</t>
  </si>
  <si>
    <t>Inspection Flow</t>
  </si>
  <si>
    <t>Photo upload, condition tags</t>
  </si>
  <si>
    <t>Return &amp; Refund</t>
  </si>
  <si>
    <t>Closure</t>
  </si>
  <si>
    <t>Photos, instant refund</t>
  </si>
  <si>
    <t>Reviews &amp; Ratings</t>
  </si>
  <si>
    <t>Two-way rating, photos</t>
  </si>
  <si>
    <t>Wallet &amp; Refunds</t>
  </si>
  <si>
    <t>Money</t>
  </si>
  <si>
    <t>Balance, transactions</t>
  </si>
  <si>
    <t>Loyalty / Referrals</t>
  </si>
  <si>
    <t>Points, invites, tiers</t>
  </si>
  <si>
    <t>Subscription / Pass</t>
  </si>
  <si>
    <t>Plans, benefits</t>
  </si>
  <si>
    <t>Profile</t>
  </si>
  <si>
    <t>Self-service</t>
  </si>
  <si>
    <t>KYC, addresses, settings</t>
  </si>
  <si>
    <t>Support / Chat</t>
  </si>
  <si>
    <t>WhatsApp, AI bot, ticket</t>
  </si>
  <si>
    <t>WEB SCREENS</t>
  </si>
  <si>
    <t>Page</t>
  </si>
  <si>
    <t>Landing Page</t>
  </si>
  <si>
    <t>SEO + Convert</t>
  </si>
  <si>
    <t>Hero, categories, trust, app download</t>
  </si>
  <si>
    <t>City × Category SEO Page</t>
  </si>
  <si>
    <t>Organic</t>
  </si>
  <si>
    <t>Programmatic, listings, FAQ</t>
  </si>
  <si>
    <t>Product Detail (Web)</t>
  </si>
  <si>
    <t>Convert</t>
  </si>
  <si>
    <t>Same as app + share</t>
  </si>
  <si>
    <t>Vendor Landing</t>
  </si>
  <si>
    <t>Vendor acq</t>
  </si>
  <si>
    <t>Sign up CTA, benefits, calculator</t>
  </si>
  <si>
    <t>Vendor Dashboard</t>
  </si>
  <si>
    <t>SaaS</t>
  </si>
  <si>
    <t>Listings, bookings, payouts, analytics</t>
  </si>
  <si>
    <t>Admin Backoffice</t>
  </si>
  <si>
    <t>Vendors, users, fraud, finance</t>
  </si>
  <si>
    <t>B2B Portal</t>
  </si>
  <si>
    <t>Corporate</t>
  </si>
  <si>
    <t>RFQ, GST invoice, dashboard</t>
  </si>
  <si>
    <t>Blog / Resource</t>
  </si>
  <si>
    <t>Content</t>
  </si>
  <si>
    <t>SEO, guides</t>
  </si>
  <si>
    <t>About / Trust</t>
  </si>
  <si>
    <t>Brand</t>
  </si>
  <si>
    <t>Story, leadership</t>
  </si>
  <si>
    <t>Help / FAQ</t>
  </si>
  <si>
    <t>Support</t>
  </si>
  <si>
    <t>Searchable KB</t>
  </si>
  <si>
    <t>DESIGN PRINCIPLES</t>
  </si>
  <si>
    <t>1. AI-first: search, recommendations, support</t>
  </si>
  <si>
    <t>2. Trust-forward: badges, reviews, transparent T&amp;Cs</t>
  </si>
  <si>
    <t>3. Speed: instant search, 1-tap rebook, OTP login</t>
  </si>
  <si>
    <t>4. WhatsApp-native: support &amp; booking via WA</t>
  </si>
  <si>
    <t>5. Localized: regional languages, INR-first, India payment methods</t>
  </si>
  <si>
    <t>6. Accessibility: WCAG AA, large tap targets, dark mode</t>
  </si>
  <si>
    <t>SYSTEM FLOWCHARTS (TEXT-BASED VISUAL)</t>
  </si>
  <si>
    <t>1. USER BOOKING FLOW</t>
  </si>
  <si>
    <t>User opens App → Browse / AI Search</t>
  </si>
  <si>
    <t>▼</t>
  </si>
  <si>
    <t>Select Product → View Details</t>
  </si>
  <si>
    <t>Choose Dates &amp; Delivery Address</t>
  </si>
  <si>
    <t>Apply Coupons / Subscription Pass</t>
  </si>
  <si>
    <t>Checkout → KYC Check (if first time)</t>
  </si>
  <si>
    <t>Payment (UPI / Card / Wallet)</t>
  </si>
  <si>
    <t>Booking Confirmed → Vendor Notified</t>
  </si>
  <si>
    <t>Delivery Dispatched → Live Tracking</t>
  </si>
  <si>
    <t>Pre-Use Inspection (Photos)</t>
  </si>
  <si>
    <t>User Enjoys Rental</t>
  </si>
  <si>
    <t>Return → Post-Use Inspection</t>
  </si>
  <si>
    <t>Refund / Charges Settled → Review</t>
  </si>
  <si>
    <t>2. VENDOR ONBOARDING FLOW</t>
  </si>
  <si>
    <t>Vendor Signs Up → Phone OTP</t>
  </si>
  <si>
    <t>KYC: GST, PAN, Bank, Aadhaar</t>
  </si>
  <si>
    <t>Business Verification (24 hrs)</t>
  </si>
  <si>
    <t>Onboarding Call + Training</t>
  </si>
  <si>
    <t>Inventory Upload (Photos, Pricing)</t>
  </si>
  <si>
    <t>AI Listing Optimization Review</t>
  </si>
  <si>
    <t>Quality Inspection by Ops Team</t>
  </si>
  <si>
    <t>Vendor Goes LIVE</t>
  </si>
  <si>
    <t>Receive First Booking → Payout T+2</t>
  </si>
  <si>
    <t>3. PAYMENT &amp; ESCROW FLOW</t>
  </si>
  <si>
    <t>User Pays → Funds in Escrow</t>
  </si>
  <si>
    <t>Booking Confirmed</t>
  </si>
  <si>
    <t>Vendor Delivers → Inspection OK</t>
  </si>
  <si>
    <t>Hold Period Starts</t>
  </si>
  <si>
    <t>Return Successful → No Damage</t>
  </si>
  <si>
    <t>Escrow Releases to Vendor (T+2)</t>
  </si>
  <si>
    <t>If Damage → Insurance + Deposit Used</t>
  </si>
  <si>
    <t>If Cancellation → Auto Refund to User</t>
  </si>
  <si>
    <t>4. AI RECOMMENDATION FLOW</t>
  </si>
  <si>
    <t>User Behavior Events → Kafka Stream</t>
  </si>
  <si>
    <t>Feature Store Updated (Real-time)</t>
  </si>
  <si>
    <t>Vector Embeddings Generated</t>
  </si>
  <si>
    <t>LLM + Collaborative Filter Hybrid</t>
  </si>
  <si>
    <t>Personalized Feed Served</t>
  </si>
  <si>
    <t>User Interaction Logged</t>
  </si>
  <si>
    <t>Model Retrained (Daily)</t>
  </si>
  <si>
    <t>5. LOGISTICS / DELIVERY FLOW</t>
  </si>
  <si>
    <t>Auto-assign Hub (Nearest)</t>
  </si>
  <si>
    <t>Dispatch Algorithm → Agent Selected</t>
  </si>
  <si>
    <t>Agent Picks Item → Pre-delivery Check</t>
  </si>
  <si>
    <t>Live Tracking Begins (Map + ETA)</t>
  </si>
  <si>
    <t>Delivery to User → OTP Verification</t>
  </si>
  <si>
    <t>Pre-use Inspection Photos Captured</t>
  </si>
  <si>
    <t>Return Pickup Scheduled</t>
  </si>
  <si>
    <t>Post-use Inspection + Hub Return</t>
  </si>
  <si>
    <t>6. DISPUTE &amp; REFUND FLOW</t>
  </si>
  <si>
    <t>User Raises Issue (In-app / WA)</t>
  </si>
  <si>
    <t>AI Triage → Auto-resolve or Human</t>
  </si>
  <si>
    <t>Evidence Collected (Photos, Logs)</t>
  </si>
  <si>
    <t>Trust &amp; Safety Team Review</t>
  </si>
  <si>
    <t>Decision Made (24-48 hrs)</t>
  </si>
  <si>
    <t>Refund / Charge / Insurance Claim</t>
  </si>
  <si>
    <t>User &amp; Vendor Notified</t>
  </si>
  <si>
    <t>Feedback Loop → Process Improvement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</si>
</sst>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9" formatCode="₹#,##0"/>
  </numFmts>
  <fonts count="13">
    <font>
      <sz val="11"/>
      <color theme="1"/>
      <name val="Calibri"/>
      <scheme val="minor"/>
    </font>
    <font>
      <b/>
      <i val="0"/>
      <sz val="18"/>
      <color rgb="FFFFFFFF"/>
      <name val="Arial"/>
    </font>
    <font>
      <b val="0"/>
      <i/>
      <sz val="11"/>
      <name val="Arial"/>
    </font>
    <font>
      <b/>
      <i val="0"/>
      <sz val="11"/>
      <color rgb="FFFFFFFF"/>
      <name val="Arial"/>
    </font>
    <font>
      <b val="0"/>
      <i val="0"/>
      <sz val="11"/>
      <name val="Arial"/>
    </font>
    <font>
      <b val="0"/>
      <i/>
      <sz val="10"/>
      <color rgb="FF6B7280"/>
      <name val="Arial"/>
    </font>
    <font>
      <b/>
      <i val="0"/>
      <sz val="16"/>
      <color rgb="FFFFFFFF"/>
      <name val="Arial"/>
    </font>
    <font>
      <b/>
      <i val="0"/>
      <sz val="13"/>
      <name val="Arial"/>
    </font>
    <font>
      <b/>
      <i val="0"/>
      <sz val="11"/>
      <name val="Arial"/>
    </font>
    <font>
      <b/>
      <i val="0"/>
      <sz val="12"/>
      <color rgb="FFFFFFFF"/>
      <name val="Arial"/>
    </font>
    <font>
      <b/>
      <i val="0"/>
      <sz val="12"/>
      <name val="Arial"/>
    </font>
    <font>
      <b/>
      <i val="0"/>
      <sz val="13"/>
      <color rgb="FFFFFFFF"/>
      <name val="Arial"/>
    </font>
    <font>
      <b/>
      <i val="0"/>
      <sz val="14"/>
      <color rgb="FF1E3A8A"/>
      <name val="Arial"/>
    </font>
  </fonts>
  <fills count="13">
    <fill>
      <patternFill patternType="none"/>
    </fill>
    <fill>
      <patternFill patternType="gray125"/>
    </fill>
    <fill>
      <patternFill patternType="solid">
        <fgColor rgb="FF0B2545"/>
      </patternFill>
    </fill>
    <fill>
      <patternFill patternType="solid">
        <fgColor rgb="FFE5E7EB"/>
      </patternFill>
    </fill>
    <fill>
      <patternFill patternType="solid">
        <fgColor rgb="FF1E3A8A"/>
      </patternFill>
    </fill>
    <fill>
      <patternFill patternType="solid">
        <fgColor rgb="FFFFFFFF"/>
      </patternFill>
    </fill>
    <fill>
      <patternFill patternType="solid">
        <fgColor rgb="FFEFF6FF"/>
      </patternFill>
    </fill>
    <fill>
      <patternFill patternType="solid">
        <fgColor rgb="FFDBEAFE"/>
      </patternFill>
    </fill>
    <fill>
      <patternFill patternType="solid">
        <fgColor rgb="FFF8FAFC"/>
      </patternFill>
    </fill>
    <fill>
      <patternFill patternType="solid">
        <fgColor rgb="FFDCFCE7"/>
      </patternFill>
    </fill>
    <fill>
      <patternFill patternType="solid">
        <fgColor rgb="FFF0F9FF"/>
      </patternFill>
    </fill>
    <fill>
      <patternFill patternType="solid">
        <fgColor rgb="FFECFDF5"/>
      </patternFill>
    </fill>
    <fill>
      <patternFill patternType="solid">
        <fgColor rgb="FFFEF3F2"/>
      </patternFill>
    </fill>
  </fills>
  <borders count="5">
    <border>
      <left/>
      <right/>
      <top/>
      <bottom/>
    </border>
    <border>
      <left>
        <color rgb="FF000000"/>
      </left>
      <right>
        <color rgb="FF000000"/>
      </right>
      <top>
        <color rgb="FF000000"/>
      </top>
      <bottom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1E3A8A"/>
      </left>
      <right style="medium">
        <color rgb="FF1E3A8A"/>
      </right>
      <top style="medium">
        <color rgb="FF1E3A8A"/>
      </top>
      <bottom style="medium">
        <color rgb="FF1E3A8A"/>
      </bottom>
    </border>
  </borders>
  <cellStyleXfs count="1">
    <xf numFmtId="0" fontId="0" fillId="0" borderId="1">
      <alignment horizontal="general" vertical="top"/>
    </xf>
  </cellStyleXfs>
  <cellXfs count="49">
    <xf numFmtId="0" fontId="0" fillId="0" borderId="1" xfId="0">
      <alignment vertical="top"/>
    </xf>
    <xf numFmtId="0" fontId="1" fillId="2" borderId="0" xfId="0">
      <alignment horizontal="center" vertical="center"/>
    </xf>
    <xf numFmtId="0" fontId="2" fillId="3" borderId="0" xfId="0">
      <alignment horizontal="center" vertical="center"/>
    </xf>
    <xf numFmtId="0" fontId="3" fillId="4" borderId="2" xfId="0">
      <alignment horizontal="center" vertical="center"/>
    </xf>
    <xf numFmtId="0" fontId="4" fillId="5" borderId="3" xfId="0">
      <alignment vertical="center"/>
    </xf>
    <xf numFmtId="0" fontId="4" fillId="6" borderId="3" xfId="0">
      <alignment vertical="center"/>
    </xf>
    <xf numFmtId="0" fontId="5" fillId="0" borderId="0" xfId="0">
      <alignment vertical="top"/>
    </xf>
    <xf numFmtId="0" fontId="6" fillId="2" borderId="0" xfId="0">
      <alignment horizontal="center" vertical="center"/>
    </xf>
    <xf numFmtId="0" fontId="7" fillId="7" borderId="0" xfId="0">
      <alignment horizontal="center" vertical="center"/>
    </xf>
    <xf numFmtId="0" fontId="8" fillId="7" borderId="3" xfId="0">
      <alignment vertical="center"/>
    </xf>
    <xf numFmtId="0" fontId="4" fillId="0" borderId="3" xfId="0">
      <alignment vertical="center"/>
    </xf>
    <xf numFmtId="0" fontId="4" fillId="8" borderId="3" xfId="0">
      <alignment vertical="center"/>
    </xf>
    <xf numFmtId="0" fontId="8" fillId="9" borderId="3" xfId="0">
      <alignment vertical="center"/>
    </xf>
    <xf numFmtId="0" fontId="4" fillId="10" borderId="3" xfId="0">
      <alignment vertical="center"/>
    </xf>
    <xf numFmtId="0" fontId="4" fillId="5" borderId="3" xfId="0">
      <alignment horizontal="left" vertical="center"/>
    </xf>
    <xf numFmtId="0" fontId="4" fillId="5" borderId="3" xfId="0">
      <alignment horizontal="center" vertical="center"/>
    </xf>
    <xf numFmtId="0" fontId="4" fillId="8" borderId="3" xfId="0">
      <alignment horizontal="left" vertical="center"/>
    </xf>
    <xf numFmtId="0" fontId="4" fillId="8" borderId="3" xfId="0">
      <alignment horizontal="center" vertical="center"/>
    </xf>
    <xf numFmtId="0" fontId="8" fillId="9" borderId="3" xfId="0">
      <alignment horizontal="left" vertical="center"/>
    </xf>
    <xf numFmtId="0" fontId="8" fillId="9" borderId="3" xfId="0">
      <alignment horizontal="center" vertical="center"/>
    </xf>
    <xf numFmtId="0" fontId="4" fillId="11" borderId="3" xfId="0">
      <alignment horizontal="center" vertical="center"/>
    </xf>
    <xf numFmtId="0" fontId="4" fillId="11" borderId="3" xfId="0">
      <alignment horizontal="left" vertical="center"/>
    </xf>
    <xf numFmtId="0" fontId="4" fillId="9" borderId="3" xfId="0">
      <alignment horizontal="center" vertical="center"/>
    </xf>
    <xf numFmtId="0" fontId="4" fillId="9" borderId="3" xfId="0">
      <alignment horizontal="left" vertical="center"/>
    </xf>
    <xf numFmtId="10" fontId="4" fillId="5" borderId="3" xfId="0">
      <alignment vertical="center"/>
    </xf>
    <xf numFmtId="10" fontId="4" fillId="8" borderId="3" xfId="0">
      <alignment vertical="center"/>
    </xf>
    <xf numFmtId="0" fontId="9" fillId="2" borderId="3" xfId="0">
      <alignment horizontal="left" vertical="center"/>
    </xf>
    <xf numFmtId="0" fontId="9" fillId="2" borderId="3" xfId="0">
      <alignment horizontal="center" vertical="center"/>
    </xf>
    <xf numFmtId="0" fontId="4" fillId="12" borderId="3" xfId="0">
      <alignment horizontal="center" vertical="center"/>
    </xf>
    <xf numFmtId="0" fontId="4" fillId="12" borderId="3" xfId="0">
      <alignment horizontal="left" vertical="center"/>
    </xf>
    <xf numFmtId="10" fontId="4" fillId="5" borderId="3" xfId="0">
      <alignment horizontal="center" vertical="center"/>
    </xf>
    <xf numFmtId="0" fontId="4" fillId="6" borderId="3" xfId="0">
      <alignment horizontal="left" vertical="center"/>
    </xf>
    <xf numFmtId="10" fontId="4" fillId="6" borderId="3" xfId="0">
      <alignment horizontal="center" vertical="center"/>
    </xf>
    <xf numFmtId="0" fontId="8" fillId="5" borderId="3" xfId="0">
      <alignment vertical="center"/>
    </xf>
    <xf numFmtId="0" fontId="8" fillId="6" borderId="3" xfId="0">
      <alignment vertical="center"/>
    </xf>
    <xf numFmtId="0" fontId="4" fillId="11" borderId="3" xfId="0">
      <alignment vertical="center"/>
    </xf>
    <xf numFmtId="0" fontId="4" fillId="9" borderId="3" xfId="0">
      <alignment vertical="center"/>
    </xf>
    <xf numFmtId="179" fontId="4" fillId="5" borderId="3" xfId="0">
      <alignment vertical="center"/>
    </xf>
    <xf numFmtId="179" fontId="4" fillId="8" borderId="3" xfId="0">
      <alignment vertical="center"/>
    </xf>
    <xf numFmtId="0" fontId="10" fillId="9" borderId="3" xfId="0">
      <alignment vertical="center"/>
    </xf>
    <xf numFmtId="179" fontId="10" fillId="9" borderId="3" xfId="0">
      <alignment vertical="center"/>
    </xf>
    <xf numFmtId="4" fontId="4" fillId="5" borderId="3" xfId="0">
      <alignment vertical="center"/>
    </xf>
    <xf numFmtId="4" fontId="8" fillId="9" borderId="3" xfId="0">
      <alignment vertical="center"/>
    </xf>
    <xf numFmtId="10" fontId="8" fillId="9" borderId="3" xfId="0">
      <alignment vertical="center"/>
    </xf>
    <xf numFmtId="0" fontId="4" fillId="6" borderId="3" xfId="0">
      <alignment horizontal="center" vertical="center"/>
    </xf>
    <xf numFmtId="0" fontId="11" fillId="4" borderId="0" xfId="0">
      <alignment horizontal="center" vertical="center"/>
    </xf>
    <xf numFmtId="0" fontId="8" fillId="7" borderId="4" xfId="0">
      <alignment horizontal="center" vertical="center"/>
    </xf>
    <xf numFmtId="0" fontId="12" fillId="0" borderId="0" xfId="0">
      <alignment horizontal="center" vertical="center"/>
    </xf>
    <xf numFmtId="0" fontId="8" fillId="5" borderId="4" xfId="0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styles" Target="styles.xml"/><Relationship Id="rId18" Type="http://schemas.openxmlformats.org/officeDocument/2006/relationships/theme" Target="theme/theme1.xml"/><Relationship Id="rId1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microsoft.com/office/2011/relationships/chartStyle" Target="style1.xml"/><Relationship Id="rId2" Type="http://schemas.microsoft.com/office/2011/relationships/chartColorStyle" Target="colors1.xml"/></Relationships>
</file>

<file path=xl/charts/_rels/chart2.xml.rels><?xml version="1.0" encoding="UTF-8" standalone="yes"?>
<Relationships xmlns="http://schemas.openxmlformats.org/package/2006/relationships"><Relationship Id="rId1" Type="http://schemas.microsoft.com/office/2011/relationships/chartStyle" Target="style2.xml"/><Relationship Id="rId2" Type="http://schemas.microsoft.com/office/2011/relationships/chartColorStyle" Target="colors2.xml"/></Relationships>
</file>

<file path=xl/charts/_rels/chart3.xml.rels><?xml version="1.0" encoding="UTF-8" standalone="yes"?>
<Relationships xmlns="http://schemas.openxmlformats.org/package/2006/relationships"><Relationship Id="rId1" Type="http://schemas.microsoft.com/office/2011/relationships/chartStyle" Target="style3.xml"/><Relationship Id="rId2" Type="http://schemas.microsoft.com/office/2011/relationships/chartColorStyle" Target="colors3.xml"/></Relationships>
</file>

<file path=xl/charts/_rels/chart4.xml.rels><?xml version="1.0" encoding="UTF-8" standalone="yes"?>
<Relationships xmlns="http://schemas.openxmlformats.org/package/2006/relationships"><Relationship Id="rId1" Type="http://schemas.microsoft.com/office/2011/relationships/chartStyle" Target="style4.xml"/><Relationship Id="rId2" Type="http://schemas.microsoft.com/office/2011/relationships/chartColorStyle" Target="colors4.xml"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Competitor Capability Comparison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02_Global_Competitors!$A$18</c:f>
            </c:strRef>
          </c:tx>
          <c:spPr>
            <a:solidFill>
              <a:schemeClr val="accent1"/>
            </a:solidFill>
          </c:spPr>
          <c:cat>
            <c:strRef>
              <c:f>02_Global_Competitors!$B$17:$G$17</c:f>
            </c:strRef>
          </c:cat>
          <c:val>
            <c:numRef>
              <c:f>02_Global_Competitors!$B$18:$G$18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02_Global_Competitors!$A$19</c:f>
            </c:strRef>
          </c:tx>
          <c:spPr>
            <a:solidFill>
              <a:schemeClr val="accent2"/>
            </a:solidFill>
          </c:spPr>
          <c:cat>
            <c:strRef>
              <c:f>02_Global_Competitors!$B$17:$G$17</c:f>
            </c:strRef>
          </c:cat>
          <c:val>
            <c:numRef>
              <c:f>02_Global_Competitors!$B$19:$G$19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02_Global_Competitors!$A$20</c:f>
            </c:strRef>
          </c:tx>
          <c:spPr>
            <a:solidFill>
              <a:schemeClr val="accent3"/>
            </a:solidFill>
          </c:spPr>
          <c:cat>
            <c:strRef>
              <c:f>02_Global_Competitors!$B$17:$G$17</c:f>
            </c:strRef>
          </c:cat>
          <c:val>
            <c:numRef>
              <c:f>02_Global_Competitors!$B$20:$G$20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02_Global_Competitors!$A$21</c:f>
            </c:strRef>
          </c:tx>
          <c:spPr>
            <a:solidFill>
              <a:schemeClr val="accent4"/>
            </a:solidFill>
          </c:spPr>
          <c:cat>
            <c:strRef>
              <c:f>02_Global_Competitors!$B$17:$G$17</c:f>
            </c:strRef>
          </c:cat>
          <c:val>
            <c:numRef>
              <c:f>02_Global_Competitors!$B$21:$G$21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4"/>
          <c:order val="4"/>
          <c:tx>
            <c:strRef>
              <c:f>02_Global_Competitors!$A$22</c:f>
            </c:strRef>
          </c:tx>
          <c:spPr>
            <a:solidFill>
              <a:schemeClr val="accent5"/>
            </a:solidFill>
          </c:spPr>
          <c:cat>
            <c:strRef>
              <c:f>02_Global_Competitors!$B$17:$G$17</c:f>
            </c:strRef>
          </c:cat>
          <c:val>
            <c:numRef>
              <c:f>02_Global_Competitors!$B$22:$G$22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5"/>
          <c:order val="5"/>
          <c:tx>
            <c:strRef>
              <c:f>02_Global_Competitors!$A$23</c:f>
            </c:strRef>
          </c:tx>
          <c:spPr>
            <a:solidFill>
              <a:schemeClr val="accent6"/>
            </a:solidFill>
          </c:spPr>
          <c:cat>
            <c:strRef>
              <c:f>02_Global_Competitors!$B$17:$G$17</c:f>
            </c:strRef>
          </c:cat>
          <c:val>
            <c:numRef>
              <c:f>02_Global_Competitors!$B$23:$G$23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6"/>
          <c:order val="6"/>
          <c:tx>
            <c:strRef>
              <c:f>02_Global_Competitors!$A$24</c:f>
            </c:strRef>
          </c:tx>
          <c:spPr>
            <a:solidFill>
              <a:schemeClr val="accent1">
                <a:lumMod val="60000"/>
              </a:schemeClr>
            </a:solidFill>
          </c:spPr>
          <c:cat>
            <c:strRef>
              <c:f>02_Global_Competitors!$B$17:$G$17</c:f>
            </c:strRef>
          </c:cat>
          <c:val>
            <c:numRef>
              <c:f>02_Global_Competitors!$B$24:$G$24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7"/>
          <c:order val="7"/>
          <c:tx>
            <c:strRef>
              <c:f>02_Global_Competitors!$A$25</c:f>
            </c:strRef>
          </c:tx>
          <c:spPr>
            <a:solidFill>
              <a:schemeClr val="accent2">
                <a:lumMod val="60000"/>
              </a:schemeClr>
            </a:solidFill>
          </c:spPr>
          <c:cat>
            <c:strRef>
              <c:f>02_Global_Competitors!$B$17:$G$17</c:f>
            </c:strRef>
          </c:cat>
          <c:val>
            <c:numRef>
              <c:f>02_Global_Competitors!$B$25:$G$25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8"/>
          <c:order val="8"/>
          <c:tx>
            <c:strRef>
              <c:f>02_Global_Competitors!$A$26</c:f>
            </c:strRef>
          </c:tx>
          <c:spPr>
            <a:solidFill>
              <a:schemeClr val="accent3">
                <a:lumMod val="60000"/>
              </a:schemeClr>
            </a:solidFill>
          </c:spPr>
          <c:cat>
            <c:strRef>
              <c:f>02_Global_Competitors!$B$17:$G$17</c:f>
            </c:strRef>
          </c:cat>
          <c:val>
            <c:numRef>
              <c:f>02_Global_Competitors!$B$26:$G$26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9"/>
          <c:order val="9"/>
          <c:tx>
            <c:strRef>
              <c:f>02_Global_Competitors!$A$27</c:f>
            </c:strRef>
          </c:tx>
          <c:spPr>
            <a:solidFill>
              <a:schemeClr val="accent4">
                <a:lumMod val="60000"/>
              </a:schemeClr>
            </a:solidFill>
          </c:spPr>
          <c:cat>
            <c:strRef>
              <c:f>02_Global_Competitors!$B$17:$G$17</c:f>
            </c:strRef>
          </c:cat>
          <c:val>
            <c:numRef>
              <c:f>02_Global_Competitors!$B$27:$G$27</c:f>
              <c:numCache>
                <c:formatCode>General</c:formatCode>
              </c:numCache>
            </c:numRef>
          </c:val>
          <c:extLst/>
          <c:invertIfNegative val="0"/>
        </c:ser>
        <c:axId val="75329529"/>
        <c:axId val="93788059"/>
        <c:barDir val="col"/>
        <c:grouping val="clustered"/>
        <c:gapWidth val="150"/>
        <c:varyColors val="0"/>
        <c:overlap val="-27"/>
      </c:barChart>
      <c:catAx axisType="0">
        <c:axId val="75329529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3788059"/>
      </c:catAx>
      <c:valAx axisType="3">
        <c:axId val="93788059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75329529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2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Revenue Mix Target (Year 3)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pieChart chartType="10">
        <c:ser seriesType="3"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4"/>
            <c:invertIfNegative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5"/>
            <c:invertIfNegative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6"/>
            <c:invertIfNegative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tx>
            <c:strRef>
              <c:f>08_Business_Model!$B$19</c:f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cat>
            <c:strRef>
              <c:f>08_Business_Model!$A$20:$A$26</c:f>
            </c:strRef>
          </c:cat>
          <c:val>
            <c:numRef>
              <c:f>08_Business_Model!$B$20:$B$26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dLblPos val="outEnd"/>
            <c:showLeaderLines val="1"/>
            <c:showBubbleSize val="0"/>
            <c:showLegendKey val="0"/>
            <c:showPercent val="1"/>
            <c:showCatName val="0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1"/>
              </c:ext>
            </c:extLst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extLst/>
          <c:explosion val="0"/>
        </c:ser>
        <c:varyColors val="1"/>
        <c:firstSliceAng val="0"/>
      </c:pie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3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Marketing Budget Mix (Yr 1)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doughnutChart chartType="12">
        <c:ser seriesType="3">
          <c:dPt>
            <c:idx val="0"/>
            <c:invertIfNegative val="0"/>
            <c:spPr>
              <a:solidFill>
                <a:schemeClr val="accent1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1"/>
            <c:invertIfNegative val="0"/>
            <c:spPr>
              <a:solidFill>
                <a:schemeClr val="accent2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2"/>
            <c:invertIfNegative val="0"/>
            <c:spPr>
              <a:solidFill>
                <a:schemeClr val="accent3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3"/>
            <c:invertIfNegative val="0"/>
            <c:spPr>
              <a:solidFill>
                <a:schemeClr val="accent4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4"/>
            <c:invertIfNegative val="0"/>
            <c:spPr>
              <a:solidFill>
                <a:schemeClr val="accent5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5"/>
            <c:invertIfNegative val="0"/>
            <c:spPr>
              <a:solidFill>
                <a:schemeClr val="accent6"/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6"/>
            <c:invertIfNegative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7"/>
            <c:invertIfNegative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dPt>
            <c:idx val="8"/>
            <c:invertIfNegative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rgbClr val="ffffff"/>
                </a:solidFill>
                <a:prstDash val="solid"/>
              </a:ln>
            </c:spPr>
            <c:marker>
              <c:spPr/>
              <c:size val="5"/>
              <c:symbol val="none"/>
            </c:marker>
          </c:dPt>
          <c:idx val="0"/>
          <c:order val="0"/>
          <c:tx>
            <c:strRef>
              <c:f>11_Marketing!$B$21</c:f>
            </c:strRef>
          </c:tx>
          <c:spPr>
            <a:ln w="19050">
              <a:solidFill>
                <a:srgbClr val="ffffff"/>
              </a:solidFill>
              <a:prstDash val="solid"/>
            </a:ln>
          </c:spPr>
          <c:cat>
            <c:strRef>
              <c:f>11_Marketing!$A$22:$A$30</c:f>
            </c:strRef>
          </c:cat>
          <c:val>
            <c:numRef>
              <c:f>11_Marketing!$B$22:$B$30</c:f>
              <c:numCache>
                <c:formatCode>0.00%</c:formatCode>
              </c:numCache>
            </c:numRef>
          </c:val>
          <c:dLbls>
            <c:spPr>
              <a:noFill/>
              <a:ln>
                <a:noFill/>
              </a:ln>
            </c:spPr>
            <c:showLeaderLines val="1"/>
            <c:showBubbleSize val="0"/>
            <c:showLegendKey val="0"/>
            <c:showPercent val="1"/>
            <c:showCatName val="0"/>
            <c:showSerName val="0"/>
            <c:showVal val="0"/>
            <c:separator>, </c:separator>
            <c:extLst>
              <c:ext xmlns:c15="http://schemas.microsoft.com/office/drawing/2012/chart" uri="{CE6537A1-D6FC-4f65-9D91-7224C49458BB}">
                <c15:showLeaderLines val="1"/>
              </c:ext>
            </c:extLst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</c:spPr>
            </c:leaderLines>
          </c:dLbls>
          <c:extLst/>
          <c:explosion val="0"/>
        </c:ser>
        <c:varyColors val="1"/>
        <c:firstSliceAng val="0"/>
        <c:holeSize val="75"/>
      </c:doughnutChart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hart4.xml><?xml version="1.0" encoding="utf-8"?>
<c:chartSpace xmlns:a="http://schemas.openxmlformats.org/drawingml/2006/main" xmlns:r="http://schemas.openxmlformats.org/officeDocument/2006/relationships" xmlns:c="http://schemas.openxmlformats.org/drawingml/2006/chart" xmlns:c16r2="http://schemas.microsoft.com/office/drawing/2015/06/chart">
  <c:roundedCorners val="0"/>
  <c:chart>
    <c:title>
      <c:tx>
        <c:rich>
          <a:bodyPr/>
          <a:p>
            <a:pPr>
              <a:defRPr sz="1050" b="0">
                <a:solidFill>
                  <a:srgbClr val="333333"/>
                </a:solidFill>
                <a:latin typeface="Arial"/>
              </a:defRPr>
            </a:pPr>
            <a:r>
              <a:rPr sz="1050" b="0">
                <a:solidFill>
                  <a:srgbClr val="333333"/>
                </a:solidFill>
                <a:latin typeface="Arial"/>
              </a:rPr>
              <a:t>5-Year Revenue &amp; GMV Projection</a:t>
            </a:r>
            <a:endParaRPr/>
          </a:p>
        </c:rich>
      </c:tx>
      <c:overlay val="0"/>
      <c:spPr>
        <a:noFill/>
        <a:ln>
          <a:noFill/>
        </a:ln>
      </c:spPr>
    </c:title>
    <c:autoTitleDeleted val="0"/>
    <c:plotArea>
      <c:barChart chartType="6">
        <c:ser seriesType="0">
          <c:idx val="0"/>
          <c:order val="0"/>
          <c:tx>
            <c:strRef>
              <c:f>13_Financials!$A$17</c:f>
            </c:strRef>
          </c:tx>
          <c:spPr>
            <a:solidFill>
              <a:schemeClr val="accent1"/>
            </a:solidFill>
          </c:spPr>
          <c:cat>
            <c:strRef>
              <c:f>13_Financials!$B$16:$F$16</c:f>
            </c:strRef>
          </c:cat>
          <c:val>
            <c:numRef>
              <c:f>13_Financials!$B$17:$F$17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1"/>
          <c:order val="1"/>
          <c:tx>
            <c:strRef>
              <c:f>13_Financials!$A$18</c:f>
            </c:strRef>
          </c:tx>
          <c:spPr>
            <a:solidFill>
              <a:schemeClr val="accent2"/>
            </a:solidFill>
          </c:spPr>
          <c:cat>
            <c:strRef>
              <c:f>13_Financials!$B$16:$F$16</c:f>
            </c:strRef>
          </c:cat>
          <c:val>
            <c:numRef>
              <c:f>13_Financials!$B$18:$F$18</c:f>
              <c:numCache>
                <c:formatCode>General</c:formatCode>
              </c:numCache>
            </c:numRef>
          </c:val>
          <c:extLst/>
          <c:invertIfNegative val="0"/>
        </c:ser>
        <c:ser seriesType="0">
          <c:idx val="2"/>
          <c:order val="2"/>
          <c:tx>
            <c:strRef>
              <c:f>13_Financials!$A$19</c:f>
            </c:strRef>
          </c:tx>
          <c:spPr>
            <a:solidFill>
              <a:schemeClr val="accent3"/>
            </a:solidFill>
          </c:spPr>
          <c:cat>
            <c:strRef>
              <c:f>13_Financials!$B$16:$F$16</c:f>
            </c:strRef>
          </c:cat>
          <c:val>
            <c:numRef>
              <c:f>13_Financials!$B$19:$F$19</c:f>
              <c:numCache>
                <c:formatCode>#,##0.00</c:formatCode>
              </c:numCache>
            </c:numRef>
          </c:val>
          <c:extLst/>
          <c:invertIfNegative val="0"/>
        </c:ser>
        <c:ser seriesType="0">
          <c:idx val="3"/>
          <c:order val="3"/>
          <c:tx>
            <c:strRef>
              <c:f>13_Financials!$A$20</c:f>
            </c:strRef>
          </c:tx>
          <c:spPr>
            <a:solidFill>
              <a:schemeClr val="accent4"/>
            </a:solidFill>
          </c:spPr>
          <c:cat>
            <c:strRef>
              <c:f>13_Financials!$B$16:$F$16</c:f>
            </c:strRef>
          </c:cat>
          <c:val>
            <c:numRef>
              <c:f>13_Financials!$B$20:$F$20</c:f>
              <c:numCache>
                <c:formatCode>0.00%</c:formatCode>
              </c:numCache>
            </c:numRef>
          </c:val>
          <c:extLst/>
          <c:invertIfNegative val="0"/>
        </c:ser>
        <c:ser seriesType="0">
          <c:idx val="4"/>
          <c:order val="4"/>
          <c:tx>
            <c:strRef>
              <c:f>13_Financials!$A$21</c:f>
            </c:strRef>
          </c:tx>
          <c:spPr>
            <a:solidFill>
              <a:schemeClr val="accent5"/>
            </a:solidFill>
          </c:spPr>
          <c:cat>
            <c:strRef>
              <c:f>13_Financials!$B$16:$F$16</c:f>
            </c:strRef>
          </c:cat>
          <c:val>
            <c:numRef>
              <c:f>13_Financials!$B$21:$F$21</c:f>
              <c:numCache>
                <c:formatCode>#,##0.00</c:formatCode>
              </c:numCache>
            </c:numRef>
          </c:val>
          <c:extLst/>
          <c:invertIfNegative val="0"/>
        </c:ser>
        <c:axId val="42998208"/>
        <c:axId val="99059002"/>
        <c:barDir val="col"/>
        <c:grouping val="clustered"/>
        <c:gapWidth val="150"/>
        <c:varyColors val="0"/>
        <c:overlap val="-27"/>
      </c:barChart>
      <c:catAx axisType="0">
        <c:axId val="42998208"/>
        <c:delete val="0"/>
        <c:majorTickMark val="none"/>
        <c:minorTickMark val="none"/>
        <c:tickLblPos val="nextTo"/>
        <c:axPos val="b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auto val="1"/>
        <c:lblOffset val="0"/>
        <c:tickMarkSkip val="1"/>
        <c:noMultiLvlLbl val="1"/>
        <c:crosses val="autoZero"/>
        <c:crossAx val="99059002"/>
      </c:catAx>
      <c:valAx axisType="3">
        <c:axId val="99059002"/>
        <c:delete val="0"/>
        <c:majorTickMark val="none"/>
        <c:minorTickMark val="none"/>
        <c:tickLblPos val="nextTo"/>
        <c:axPos val="l"/>
        <c:scaling>
          <c:orientation val="minMax"/>
        </c:scaling>
        <c:spPr>
          <a:ln>
            <a:solidFill>
              <a:schemeClr val="tx1">
                <a:lumMod val="15000"/>
                <a:lumOff val="85000"/>
              </a:schemeClr>
            </a:solidFill>
          </a:ln>
        </c:spPr>
        <c:numFmt formatCode="General"/>
        <c:txPr>
          <a:bodyPr/>
          <a:p>
            <a:pPr>
              <a:def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defRPr>
            </a:pPr>
            <a:r>
              <a:rPr sz="900" b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</a:rPr>
              <a:t/>
            </a:r>
            <a:endParaRPr/>
          </a:p>
        </c:txPr>
        <c:majorGridlines>
          <c:spPr>
            <a:ln w="9525">
              <a:solidFill>
                <a:srgbClr val="d9d9d9"/>
              </a:solidFill>
            </a:ln>
          </c:spPr>
        </c:majorGridlines>
        <c:crosses val="autoZero"/>
        <c:crossBetween val="between"/>
        <c:crossAx val="42998208"/>
      </c:valAx>
      <c:spPr>
        <a:noFill/>
        <a:ln>
          <a:noFill/>
        </a:ln>
      </c:spPr>
    </c:plotArea>
    <c:legend>
      <c:legendPos val="r"/>
      <c:overlay val="0"/>
      <c:spPr>
        <a:noFill/>
      </c:spPr>
      <c:txPr>
        <a:bodyPr/>
        <a:p>
          <a:pPr>
            <a:def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defRPr>
          </a:pPr>
          <a:r>
            <a:rPr sz="750" b="0">
              <a:solidFill>
                <a:schemeClr val="tx1">
                  <a:lumMod val="65000"/>
                  <a:lumOff val="35000"/>
                </a:schemeClr>
              </a:solidFill>
              <a:latin typeface="Arial"/>
            </a:rPr>
            <a:t/>
          </a:r>
          <a:endParaRPr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0"/>
        </c16r3:dataDisplayOptions16>
      </c:ext>
    </c:extLst>
  </c:chart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4"/>
    </mc:Fallback>
  </mc:AlternateContent>
  <c:spPr>
    <a:solidFill>
      <a:schemeClr val="bg1"/>
    </a:solidFill>
    <a:ln w="9525">
      <a:solidFill>
        <a:schemeClr val="tx1">
          <a:lumMod val="15000"/>
          <a:lumOff val="85000"/>
        </a:schemeClr>
      </a:solidFill>
    </a:ln>
  </c:spPr>
  <c:txPr>
    <a:bodyPr/>
    <a:p>
      <a:pPr>
        <a:defRPr b="0">
          <a:solidFill>
            <a:schemeClr val="tx1">
              <a:lumMod val="65000"/>
              <a:lumOff val="35000"/>
            </a:schemeClr>
          </a:solidFill>
          <a:latin typeface="+mn-lt"/>
        </a:defRPr>
      </a:pPr>
      <a:r>
        <a:rPr b="0">
          <a:solidFill>
            <a:schemeClr val="tx1">
              <a:lumMod val="65000"/>
              <a:lumOff val="35000"/>
            </a:schemeClr>
          </a:solidFill>
          <a:latin typeface="+mn-lt"/>
        </a:rPr>
        <a:t/>
      </a:r>
      <a:endParaRPr/>
    </a:p>
  </c:txPr>
</c:chartSpace>
</file>

<file path=xl/charts/colors1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2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3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colors4.xml><?xml version="1.0" encoding="utf-8"?>
<cs:colorStyle xmlns:a="http://schemas.openxmlformats.org/drawingml/2006/main" xmlns:cs="http://schemas.microsoft.com/office/drawing/2012/chartStyle" meth="cycle" id="10">
  <a:schemeClr val="accent1"/>
  <a:schemeClr val="accent2"/>
  <a:schemeClr val="accent3"/>
  <a:schemeClr val="accent4"/>
  <a:schemeClr val="accent5"/>
  <a:schemeClr val="accent6"/>
  <a:schemeClr val="accent1">
    <a:lumMod val="60000"/>
  </a:schemeClr>
  <a:schemeClr val="accent2">
    <a:lumMod val="60000"/>
  </a:schemeClr>
  <a:schemeClr val="accent3">
    <a:lumMod val="60000"/>
  </a:schemeClr>
  <a:schemeClr val="accent4">
    <a:lumMod val="60000"/>
  </a:schemeClr>
  <a:schemeClr val="accent5">
    <a:lumMod val="60000"/>
  </a:schemeClr>
  <a:schemeClr val="accent6">
    <a:lumMod val="60000"/>
  </a:schemeClr>
  <a:schemeClr val="accent1">
    <a:lumMod val="80000"/>
    <a:lumOff val="20000"/>
  </a:schemeClr>
  <a:schemeClr val="accent2">
    <a:lumMod val="80000"/>
    <a:lumOff val="20000"/>
  </a:schemeClr>
  <a:schemeClr val="accent3">
    <a:lumMod val="80000"/>
    <a:lumOff val="20000"/>
  </a:schemeClr>
  <a:schemeClr val="accent4">
    <a:lumMod val="80000"/>
    <a:lumOff val="20000"/>
  </a:schemeClr>
  <a:schemeClr val="accent5">
    <a:lumMod val="80000"/>
    <a:lumOff val="20000"/>
  </a:schemeClr>
  <a:schemeClr val="accent6">
    <a:lumMod val="80000"/>
    <a:lumOff val="20000"/>
  </a:schemeClr>
  <a:schemeClr val="accent1">
    <a:lumMod val="80000"/>
  </a:schemeClr>
  <a:schemeClr val="accent2">
    <a:lumMod val="80000"/>
  </a:schemeClr>
  <a:schemeClr val="accent3">
    <a:lumMod val="80000"/>
  </a:schemeClr>
  <a:schemeClr val="accent4">
    <a:lumMod val="80000"/>
  </a:schemeClr>
  <a:schemeClr val="accent5">
    <a:lumMod val="80000"/>
  </a:schemeClr>
  <a:schemeClr val="accent6">
    <a:lumMod val="80000"/>
  </a:schemeClr>
  <a:schemeClr val="accent1">
    <a:lumMod val="60000"/>
    <a:lumOff val="40000"/>
  </a:schemeClr>
  <a:schemeClr val="accent2">
    <a:lumMod val="60000"/>
    <a:lumOff val="40000"/>
  </a:schemeClr>
  <a:schemeClr val="accent3">
    <a:lumMod val="60000"/>
    <a:lumOff val="40000"/>
  </a:schemeClr>
  <a:schemeClr val="accent4">
    <a:lumMod val="60000"/>
    <a:lumOff val="40000"/>
  </a:schemeClr>
  <a:schemeClr val="accent5">
    <a:lumMod val="60000"/>
    <a:lumOff val="40000"/>
  </a:schemeClr>
  <a:schemeClr val="accent6">
    <a:lumMod val="60000"/>
    <a:lumOff val="40000"/>
  </a:schemeClr>
  <a:schemeClr val="accent1">
    <a:lumMod val="50000"/>
  </a:schemeClr>
  <a:schemeClr val="accent2">
    <a:lumMod val="50000"/>
  </a:schemeClr>
  <a:schemeClr val="accent3">
    <a:lumMod val="50000"/>
  </a:schemeClr>
  <a:schemeClr val="accent4">
    <a:lumMod val="50000"/>
  </a:schemeClr>
  <a:schemeClr val="accent5">
    <a:lumMod val="50000"/>
  </a:schemeClr>
  <a:schemeClr val="accent6">
    <a:lumMod val="50000"/>
  </a:schemeClr>
  <a:schemeClr val="accent1">
    <a:lumMod val="70000"/>
    <a:lumOff val="30000"/>
  </a:schemeClr>
  <a:schemeClr val="accent2">
    <a:lumMod val="70000"/>
    <a:lumOff val="30000"/>
  </a:schemeClr>
  <a:schemeClr val="accent3">
    <a:lumMod val="70000"/>
    <a:lumOff val="30000"/>
  </a:schemeClr>
  <a:schemeClr val="accent4">
    <a:lumMod val="70000"/>
    <a:lumOff val="30000"/>
  </a:schemeClr>
  <a:schemeClr val="accent5">
    <a:lumMod val="70000"/>
    <a:lumOff val="30000"/>
  </a:schemeClr>
  <a:schemeClr val="accent6">
    <a:lumMod val="70000"/>
    <a:lumOff val="30000"/>
  </a:schemeClr>
  <a:schemeClr val="accent1">
    <a:lumMod val="70000"/>
  </a:schemeClr>
  <a:schemeClr val="accent2">
    <a:lumMod val="70000"/>
  </a:schemeClr>
  <a:schemeClr val="accent3">
    <a:lumMod val="70000"/>
  </a:schemeClr>
  <a:schemeClr val="accent4">
    <a:lumMod val="70000"/>
  </a:schemeClr>
  <a:schemeClr val="accent5">
    <a:lumMod val="70000"/>
  </a:schemeClr>
  <a:schemeClr val="accent6">
    <a:lumMod val="70000"/>
  </a:schemeClr>
  <a:schemeClr val="accent1">
    <a:lumMod val="50000"/>
    <a:lumOff val="50000"/>
  </a:schemeClr>
  <a:schemeClr val="accent2">
    <a:lumMod val="50000"/>
    <a:lumOff val="50000"/>
  </a:schemeClr>
  <a:schemeClr val="accent3">
    <a:lumMod val="50000"/>
    <a:lumOff val="50000"/>
  </a:schemeClr>
  <a:schemeClr val="accent4">
    <a:lumMod val="50000"/>
    <a:lumOff val="50000"/>
  </a:schemeClr>
  <a:schemeClr val="accent5">
    <a:lumMod val="50000"/>
    <a:lumOff val="50000"/>
  </a:schemeClr>
  <a:schemeClr val="accent6">
    <a:lumMod val="50000"/>
    <a:lumOff val="50000"/>
  </a:schemeClr>
</cs:colorStyle>
</file>

<file path=xl/charts/style1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161925</xdr:rowOff>
    </xdr:from>
    <xdr:to>
      <xdr:col>4</xdr:col>
      <xdr:colOff>381000</xdr:colOff>
      <xdr:row>51</xdr:row>
      <xdr:rowOff>161925</xdr:rowOff>
    </xdr:to>
    <xdr:graphicFrame>
      <xdr:nvGraphicFramePr>
        <xdr:cNvPr id="2" name="CompCapability"/>
        <xdr:cNvGraphicFramePr>
          <a:graphicFrameLocks noChangeAspect="0"/>
        </xdr:cNvGraphicFramePr>
      </xdr:nvGraphicFramePr>
      <xdr:xfrm>
        <a:off x="0" y="7620000"/>
        <a:ext cx="4572000" cy="4572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95250</xdr:colOff>
      <xdr:row>18</xdr:row>
      <xdr:rowOff>9525</xdr:rowOff>
    </xdr:from>
    <xdr:to>
      <xdr:col>3</xdr:col>
      <xdr:colOff>1428750</xdr:colOff>
      <xdr:row>30</xdr:row>
      <xdr:rowOff>66675</xdr:rowOff>
    </xdr:to>
    <xdr:graphicFrame>
      <xdr:nvGraphicFramePr>
        <xdr:cNvPr id="2" name="RevMix"/>
        <xdr:cNvGraphicFramePr>
          <a:graphicFrameLocks noChangeAspect="0"/>
        </xdr:cNvGraphicFramePr>
      </xdr:nvGraphicFramePr>
      <xdr:xfrm>
        <a:off x="2857500" y="457200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10</xdr:col>
      <xdr:colOff>438150</xdr:colOff>
      <xdr:row>9</xdr:row>
      <xdr:rowOff>200025</xdr:rowOff>
    </xdr:to>
    <xdr:graphicFrame>
      <xdr:nvGraphicFramePr>
        <xdr:cNvPr id="2" name="MktMix"/>
        <xdr:cNvGraphicFramePr>
          <a:graphicFrameLocks noChangeAspect="0"/>
        </xdr:cNvGraphicFramePr>
      </xdr:nvGraphicFramePr>
      <xdr:xfrm>
        <a:off x="8191500" y="0"/>
        <a:ext cx="4572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24</xdr:row>
      <xdr:rowOff>66675</xdr:rowOff>
    </xdr:from>
    <xdr:to>
      <xdr:col>3</xdr:col>
      <xdr:colOff>190500</xdr:colOff>
      <xdr:row>43</xdr:row>
      <xdr:rowOff>47625</xdr:rowOff>
    </xdr:to>
    <xdr:graphicFrame>
      <xdr:nvGraphicFramePr>
        <xdr:cNvPr id="2" name="RevProj"/>
        <xdr:cNvGraphicFramePr>
          <a:graphicFrameLocks noChangeAspect="0"/>
        </xdr:cNvGraphicFramePr>
      </xdr:nvGraphicFramePr>
      <xdr:xfrm>
        <a:off x="0" y="5905500"/>
        <a:ext cx="4572000" cy="36004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D3FECE4-E568-4248-3248-02524374F89C}" mc:Ignorable="x14ac xr xr2 xr3">
  <dimension ref="A1:GR1000"/>
  <sheetViews>
    <sheetView topLeftCell="A1" workbookViewId="0" tabSelected="1">
      <pane ySplit="4" topLeftCell="A7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28.57421875" customWidth="1"/>
    <col min="3" max="3" width="60.00390625" customWidth="1"/>
    <col min="4" max="4" width="15.7109375" customWidth="1"/>
  </cols>
  <sheetData>
    <row r="1" ht="30" customHeight="1">
      <c r="A1" s="1" t="s">
        <v>0</v>
      </c>
    </row>
    <row r="2" ht="18" customHeight="1">
      <c r="A2" s="2" t="s">
        <v>1</v>
      </c>
    </row>
    <row r="4" ht="15" customHeight="1">
      <c r="A4" s="3" t="s">
        <v>2</v>
      </c>
      <c r="B4" s="3" t="s">
        <v>3</v>
      </c>
      <c r="C4" s="3" t="s">
        <v>4</v>
      </c>
      <c r="D4" s="3" t="s">
        <v>5</v>
      </c>
    </row>
    <row r="5" ht="16.5" customHeight="1">
      <c r="A5" s="4">
        <v>1</v>
      </c>
      <c r="B5" s="4" t="s">
        <v>6</v>
      </c>
      <c r="C5" s="4" t="s">
        <v>7</v>
      </c>
      <c r="D5" s="4" t="s">
        <v>8</v>
      </c>
    </row>
    <row r="6" ht="16.5" customHeight="1">
      <c r="A6" s="5">
        <v>2</v>
      </c>
      <c r="B6" s="5" t="s">
        <v>9</v>
      </c>
      <c r="C6" s="5" t="s">
        <v>10</v>
      </c>
      <c r="D6" s="5" t="s">
        <v>11</v>
      </c>
    </row>
    <row r="7" ht="16.5" customHeight="1">
      <c r="A7" s="4">
        <v>3</v>
      </c>
      <c r="B7" s="4" t="s">
        <v>12</v>
      </c>
      <c r="C7" s="4" t="s">
        <v>13</v>
      </c>
      <c r="D7" s="4" t="s">
        <v>11</v>
      </c>
    </row>
    <row r="8" ht="16.5" customHeight="1">
      <c r="A8" s="5">
        <v>4</v>
      </c>
      <c r="B8" s="5" t="s">
        <v>14</v>
      </c>
      <c r="C8" s="5" t="s">
        <v>15</v>
      </c>
      <c r="D8" s="5" t="s">
        <v>11</v>
      </c>
    </row>
    <row r="9" ht="16.5" customHeight="1">
      <c r="A9" s="4">
        <v>5</v>
      </c>
      <c r="B9" s="4" t="s">
        <v>16</v>
      </c>
      <c r="C9" s="4" t="s">
        <v>17</v>
      </c>
      <c r="D9" s="4" t="s">
        <v>8</v>
      </c>
    </row>
    <row r="10" ht="16.5" customHeight="1">
      <c r="A10" s="5">
        <v>6</v>
      </c>
      <c r="B10" s="5" t="s">
        <v>18</v>
      </c>
      <c r="C10" s="5" t="s">
        <v>19</v>
      </c>
      <c r="D10" s="5" t="s">
        <v>20</v>
      </c>
    </row>
    <row r="11" ht="16.5" customHeight="1">
      <c r="A11" s="4">
        <v>7</v>
      </c>
      <c r="B11" s="4" t="s">
        <v>21</v>
      </c>
      <c r="C11" s="4" t="s">
        <v>22</v>
      </c>
      <c r="D11" s="4" t="s">
        <v>20</v>
      </c>
    </row>
    <row r="12" ht="16.5" customHeight="1">
      <c r="A12" s="5">
        <v>8</v>
      </c>
      <c r="B12" s="5" t="s">
        <v>23</v>
      </c>
      <c r="C12" s="5" t="s">
        <v>24</v>
      </c>
      <c r="D12" s="5" t="s">
        <v>25</v>
      </c>
    </row>
    <row r="13" ht="16.5" customHeight="1">
      <c r="A13" s="4">
        <v>9</v>
      </c>
      <c r="B13" s="4" t="s">
        <v>26</v>
      </c>
      <c r="C13" s="4" t="s">
        <v>27</v>
      </c>
      <c r="D13" s="4" t="s">
        <v>28</v>
      </c>
    </row>
    <row r="14" ht="16.5" customHeight="1">
      <c r="A14" s="5">
        <v>10</v>
      </c>
      <c r="B14" s="5" t="s">
        <v>29</v>
      </c>
      <c r="C14" s="5" t="s">
        <v>30</v>
      </c>
      <c r="D14" s="5" t="s">
        <v>31</v>
      </c>
    </row>
    <row r="15" ht="16.5" customHeight="1">
      <c r="A15" s="4">
        <v>11</v>
      </c>
      <c r="B15" s="4" t="s">
        <v>32</v>
      </c>
      <c r="C15" s="4" t="s">
        <v>33</v>
      </c>
      <c r="D15" s="4" t="s">
        <v>34</v>
      </c>
    </row>
    <row r="16" ht="16.5" customHeight="1">
      <c r="A16" s="5">
        <v>12</v>
      </c>
      <c r="B16" s="5" t="s">
        <v>35</v>
      </c>
      <c r="C16" s="5" t="s">
        <v>36</v>
      </c>
      <c r="D16" s="5" t="s">
        <v>37</v>
      </c>
    </row>
    <row r="17" ht="16.5" customHeight="1">
      <c r="A17" s="4">
        <v>13</v>
      </c>
      <c r="B17" s="4" t="s">
        <v>38</v>
      </c>
      <c r="C17" s="4" t="s">
        <v>39</v>
      </c>
      <c r="D17" s="4" t="s">
        <v>40</v>
      </c>
    </row>
    <row r="18" ht="16.5" customHeight="1">
      <c r="A18" s="5">
        <v>14</v>
      </c>
      <c r="B18" s="5" t="s">
        <v>41</v>
      </c>
      <c r="C18" s="5" t="s">
        <v>42</v>
      </c>
      <c r="D18" s="5" t="s">
        <v>43</v>
      </c>
    </row>
    <row r="19" ht="16.5" customHeight="1">
      <c r="A19" s="4">
        <v>15</v>
      </c>
      <c r="B19" s="4" t="s">
        <v>44</v>
      </c>
      <c r="C19" s="4" t="s">
        <v>45</v>
      </c>
      <c r="D19" s="4" t="s">
        <v>46</v>
      </c>
    </row>
    <row r="21" ht="15" customHeight="1">
      <c r="A21" s="6" t="s">
        <v>47</v>
      </c>
    </row>
  </sheetData>
  <mergeCells>
    <mergeCell ref="A1:D1"/>
    <mergeCell ref="A2:D2"/>
    <mergeCell ref="A21:D2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1BFEE3-FC2E-13D8-16FB-7452A6697BE8}" mc:Ignorable="x14ac xr xr2 xr3">
  <dimension ref="A1:GR1000"/>
  <sheetViews>
    <sheetView topLeftCell="A1" workbookViewId="0">
      <pane ySplit="1" topLeftCell="A24" activePane="bottomLeft" state="frozen"/>
      <selection pane="bottomLeft" activeCell="A1" sqref="A1:D1"/>
    </sheetView>
  </sheetViews>
  <sheetFormatPr defaultRowHeight="15" defaultColWidth="8.8515625" customHeight="1"/>
  <cols>
    <col min="1" max="1" width="31.421875" customWidth="1"/>
    <col min="2" max="2" width="40.00390625" customWidth="1"/>
    <col min="3" max="3" width="31.421875" customWidth="1"/>
    <col min="4" max="4" width="22.8515625" customWidth="1"/>
  </cols>
  <sheetData>
    <row r="1" ht="26.25" customHeight="1">
      <c r="A1" s="7" t="s">
        <v>48</v>
      </c>
    </row>
    <row r="3" ht="21" customHeight="1">
      <c r="A3" s="8" t="s">
        <v>49</v>
      </c>
    </row>
    <row r="4" ht="30" customHeight="1">
      <c r="A4" s="9" t="s">
        <v>50</v>
      </c>
      <c r="B4" s="10" t="s">
        <v>51</v>
      </c>
    </row>
    <row r="5" ht="30" customHeight="1">
      <c r="A5" s="9" t="s">
        <v>52</v>
      </c>
      <c r="B5" s="10" t="s">
        <v>53</v>
      </c>
    </row>
    <row r="6" ht="30" customHeight="1">
      <c r="A6" s="9" t="s">
        <v>54</v>
      </c>
      <c r="B6" s="10" t="s">
        <v>55</v>
      </c>
    </row>
    <row r="7" ht="30" customHeight="1">
      <c r="A7" s="9" t="s">
        <v>56</v>
      </c>
      <c r="B7" s="10" t="s">
        <v>57</v>
      </c>
    </row>
    <row r="9" ht="21" customHeight="1">
      <c r="A9" s="8" t="s">
        <v>58</v>
      </c>
    </row>
    <row r="10" ht="15" customHeight="1">
      <c r="A10" s="3" t="s">
        <v>59</v>
      </c>
      <c r="B10" s="3" t="s">
        <v>60</v>
      </c>
      <c r="C10" s="3" t="s">
        <v>61</v>
      </c>
      <c r="D10" s="3" t="s">
        <v>62</v>
      </c>
    </row>
    <row r="11" ht="22.5" customHeight="1">
      <c r="A11" s="4" t="s">
        <v>63</v>
      </c>
      <c r="B11" s="4" t="s">
        <v>64</v>
      </c>
      <c r="C11" s="4" t="s">
        <v>65</v>
      </c>
      <c r="D11" s="4" t="s">
        <v>66</v>
      </c>
    </row>
    <row r="12" ht="22.5" customHeight="1">
      <c r="A12" s="11" t="s">
        <v>67</v>
      </c>
      <c r="B12" s="11" t="s">
        <v>68</v>
      </c>
      <c r="C12" s="11" t="s">
        <v>69</v>
      </c>
      <c r="D12" s="11" t="s">
        <v>70</v>
      </c>
    </row>
    <row r="13" ht="22.5" customHeight="1">
      <c r="A13" s="4" t="s">
        <v>71</v>
      </c>
      <c r="B13" s="4" t="s">
        <v>72</v>
      </c>
      <c r="C13" s="4" t="s">
        <v>73</v>
      </c>
      <c r="D13" s="4" t="s">
        <v>74</v>
      </c>
    </row>
    <row r="14" ht="22.5" customHeight="1">
      <c r="A14" s="11" t="s">
        <v>75</v>
      </c>
      <c r="B14" s="11" t="s">
        <v>76</v>
      </c>
      <c r="C14" s="11" t="s">
        <v>77</v>
      </c>
      <c r="D14" s="11" t="s">
        <v>78</v>
      </c>
    </row>
    <row r="16" ht="21" customHeight="1">
      <c r="A16" s="8" t="s">
        <v>79</v>
      </c>
    </row>
    <row r="17" ht="15" customHeight="1">
      <c r="A17" s="3" t="s">
        <v>80</v>
      </c>
      <c r="B17" s="3" t="s">
        <v>4</v>
      </c>
      <c r="C17" s="3" t="s">
        <v>81</v>
      </c>
      <c r="D17" s="3" t="s">
        <v>82</v>
      </c>
    </row>
    <row r="18" ht="22.5" customHeight="1">
      <c r="A18" s="4" t="s">
        <v>83</v>
      </c>
      <c r="B18" s="4" t="s">
        <v>84</v>
      </c>
      <c r="C18" s="4" t="s">
        <v>85</v>
      </c>
      <c r="D18" s="4" t="s">
        <v>86</v>
      </c>
    </row>
    <row r="19" ht="22.5" customHeight="1">
      <c r="A19" s="11" t="s">
        <v>87</v>
      </c>
      <c r="B19" s="11" t="s">
        <v>88</v>
      </c>
      <c r="C19" s="11" t="s">
        <v>89</v>
      </c>
      <c r="D19" s="11" t="s">
        <v>86</v>
      </c>
    </row>
    <row r="20" ht="22.5" customHeight="1">
      <c r="A20" s="4" t="s">
        <v>90</v>
      </c>
      <c r="B20" s="4" t="s">
        <v>91</v>
      </c>
      <c r="C20" s="4" t="s">
        <v>92</v>
      </c>
      <c r="D20" s="4" t="s">
        <v>86</v>
      </c>
    </row>
    <row r="21" ht="22.5" customHeight="1">
      <c r="A21" s="11" t="s">
        <v>93</v>
      </c>
      <c r="B21" s="11" t="s">
        <v>94</v>
      </c>
      <c r="C21" s="11" t="s">
        <v>95</v>
      </c>
      <c r="D21" s="11" t="s">
        <v>86</v>
      </c>
    </row>
    <row r="22" ht="22.5" customHeight="1">
      <c r="A22" s="4" t="s">
        <v>96</v>
      </c>
      <c r="B22" s="4" t="s">
        <v>97</v>
      </c>
      <c r="C22" s="4" t="s">
        <v>98</v>
      </c>
      <c r="D22" s="4" t="s">
        <v>99</v>
      </c>
    </row>
    <row r="23" ht="22.5" customHeight="1">
      <c r="A23" s="11" t="s">
        <v>100</v>
      </c>
      <c r="B23" s="11" t="s">
        <v>101</v>
      </c>
      <c r="C23" s="11" t="s">
        <v>102</v>
      </c>
      <c r="D23" s="11" t="s">
        <v>99</v>
      </c>
    </row>
    <row r="24" ht="22.5" customHeight="1">
      <c r="A24" s="4" t="s">
        <v>103</v>
      </c>
      <c r="B24" s="4" t="s">
        <v>104</v>
      </c>
      <c r="C24" s="4" t="s">
        <v>105</v>
      </c>
      <c r="D24" s="4" t="s">
        <v>99</v>
      </c>
    </row>
    <row r="26" ht="21" customHeight="1">
      <c r="A26" s="8" t="s">
        <v>106</v>
      </c>
    </row>
    <row r="27" ht="21" customHeight="1">
      <c r="A27" s="12" t="s">
        <v>107</v>
      </c>
    </row>
    <row r="28" ht="21" customHeight="1">
      <c r="A28" s="12" t="s">
        <v>108</v>
      </c>
    </row>
    <row r="29" ht="21" customHeight="1">
      <c r="A29" s="12" t="s">
        <v>109</v>
      </c>
    </row>
    <row r="30" ht="21" customHeight="1">
      <c r="A30" s="12" t="s">
        <v>110</v>
      </c>
    </row>
    <row r="31" ht="21" customHeight="1">
      <c r="A31" s="12" t="s">
        <v>111</v>
      </c>
    </row>
  </sheetData>
  <mergeCells>
    <mergeCell ref="A1:D1"/>
    <mergeCell ref="A3:D3"/>
    <mergeCell ref="B4:D4"/>
    <mergeCell ref="B5:D5"/>
    <mergeCell ref="B6:D6"/>
    <mergeCell ref="B7:D7"/>
    <mergeCell ref="A9:D9"/>
    <mergeCell ref="A16:D16"/>
    <mergeCell ref="A26:D26"/>
    <mergeCell ref="A27:D27"/>
    <mergeCell ref="A28:D28"/>
    <mergeCell ref="A29:D29"/>
    <mergeCell ref="A30:D30"/>
    <mergeCell ref="A31:D3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E5A2777-2AC8-1FA8-CD48-87AD2A871B68}" mc:Ignorable="x14ac xr xr2 xr3">
  <dimension ref="A1:GR1000"/>
  <sheetViews>
    <sheetView topLeftCell="A1" workbookViewId="0">
      <pane ySplit="1" topLeftCell="A2" activePane="bottomLeft" state="frozen"/>
      <selection pane="bottomLeft" activeCell="A1" sqref="A1:H1"/>
    </sheetView>
  </sheetViews>
  <sheetFormatPr defaultRowHeight="15" defaultColWidth="8.8515625" customHeight="1"/>
  <cols>
    <col min="1" max="1" width="8.57421875" customWidth="1"/>
    <col min="2" max="2" width="22.8515625" customWidth="1"/>
    <col min="3" max="3" width="12.8515625" customWidth="1"/>
    <col min="4" max="4" width="18.57421875" customWidth="1"/>
    <col min="5" max="5" width="21.421875" customWidth="1"/>
    <col min="6" max="8" width="31.421875" customWidth="1"/>
  </cols>
  <sheetData>
    <row r="1" ht="26.25" customHeight="1">
      <c r="A1" s="7" t="s">
        <v>112</v>
      </c>
    </row>
    <row r="3" ht="15" customHeight="1">
      <c r="A3" s="3" t="s">
        <v>2</v>
      </c>
      <c r="B3" s="3" t="s">
        <v>113</v>
      </c>
      <c r="C3" s="3" t="s">
        <v>114</v>
      </c>
      <c r="D3" s="3" t="s">
        <v>115</v>
      </c>
      <c r="E3" s="3" t="s">
        <v>116</v>
      </c>
      <c r="F3" s="3" t="s">
        <v>117</v>
      </c>
      <c r="G3" s="3" t="s">
        <v>118</v>
      </c>
      <c r="H3" s="3" t="s">
        <v>119</v>
      </c>
    </row>
    <row r="4" ht="28.5" customHeight="1">
      <c r="A4" s="4">
        <v>1</v>
      </c>
      <c r="B4" s="4" t="s">
        <v>120</v>
      </c>
      <c r="C4" s="4" t="s">
        <v>121</v>
      </c>
      <c r="D4" s="4" t="s">
        <v>122</v>
      </c>
      <c r="E4" s="4" t="s">
        <v>123</v>
      </c>
      <c r="F4" s="4" t="s">
        <v>124</v>
      </c>
      <c r="G4" s="4" t="s">
        <v>125</v>
      </c>
      <c r="H4" s="4" t="s">
        <v>126</v>
      </c>
    </row>
    <row r="5" ht="28.5" customHeight="1">
      <c r="A5" s="13">
        <v>2</v>
      </c>
      <c r="B5" s="13" t="s">
        <v>127</v>
      </c>
      <c r="C5" s="13" t="s">
        <v>121</v>
      </c>
      <c r="D5" s="13" t="s">
        <v>128</v>
      </c>
      <c r="E5" s="13" t="s">
        <v>129</v>
      </c>
      <c r="F5" s="13" t="s">
        <v>130</v>
      </c>
      <c r="G5" s="13" t="s">
        <v>131</v>
      </c>
      <c r="H5" s="13" t="s">
        <v>132</v>
      </c>
    </row>
    <row r="6" ht="28.5" customHeight="1">
      <c r="A6" s="4">
        <v>3</v>
      </c>
      <c r="B6" s="4" t="s">
        <v>133</v>
      </c>
      <c r="C6" s="4" t="s">
        <v>134</v>
      </c>
      <c r="D6" s="4" t="s">
        <v>135</v>
      </c>
      <c r="E6" s="4" t="s">
        <v>136</v>
      </c>
      <c r="F6" s="4" t="s">
        <v>137</v>
      </c>
      <c r="G6" s="4" t="s">
        <v>138</v>
      </c>
      <c r="H6" s="4" t="s">
        <v>139</v>
      </c>
    </row>
    <row r="7" ht="28.5" customHeight="1">
      <c r="A7" s="13">
        <v>4</v>
      </c>
      <c r="B7" s="13" t="s">
        <v>140</v>
      </c>
      <c r="C7" s="13" t="s">
        <v>121</v>
      </c>
      <c r="D7" s="13" t="s">
        <v>141</v>
      </c>
      <c r="E7" s="13" t="s">
        <v>142</v>
      </c>
      <c r="F7" s="13" t="s">
        <v>143</v>
      </c>
      <c r="G7" s="13" t="s">
        <v>144</v>
      </c>
      <c r="H7" s="13" t="s">
        <v>145</v>
      </c>
    </row>
    <row r="8" ht="28.5" customHeight="1">
      <c r="A8" s="4">
        <v>5</v>
      </c>
      <c r="B8" s="4" t="s">
        <v>146</v>
      </c>
      <c r="C8" s="4" t="s">
        <v>147</v>
      </c>
      <c r="D8" s="4" t="s">
        <v>148</v>
      </c>
      <c r="E8" s="4" t="s">
        <v>149</v>
      </c>
      <c r="F8" s="4" t="s">
        <v>150</v>
      </c>
      <c r="G8" s="4" t="s">
        <v>151</v>
      </c>
      <c r="H8" s="4" t="s">
        <v>152</v>
      </c>
    </row>
    <row r="9" ht="28.5" customHeight="1">
      <c r="A9" s="13">
        <v>6</v>
      </c>
      <c r="B9" s="13" t="s">
        <v>153</v>
      </c>
      <c r="C9" s="13" t="s">
        <v>154</v>
      </c>
      <c r="D9" s="13" t="s">
        <v>155</v>
      </c>
      <c r="E9" s="13" t="s">
        <v>156</v>
      </c>
      <c r="F9" s="13" t="s">
        <v>157</v>
      </c>
      <c r="G9" s="13" t="s">
        <v>158</v>
      </c>
      <c r="H9" s="13" t="s">
        <v>159</v>
      </c>
    </row>
    <row r="10" ht="28.5" customHeight="1">
      <c r="A10" s="4">
        <v>7</v>
      </c>
      <c r="B10" s="4" t="s">
        <v>160</v>
      </c>
      <c r="C10" s="4" t="s">
        <v>154</v>
      </c>
      <c r="D10" s="4" t="s">
        <v>161</v>
      </c>
      <c r="E10" s="4" t="s">
        <v>162</v>
      </c>
      <c r="F10" s="4" t="s">
        <v>163</v>
      </c>
      <c r="G10" s="4" t="s">
        <v>164</v>
      </c>
      <c r="H10" s="4" t="s">
        <v>165</v>
      </c>
    </row>
    <row r="11" ht="28.5" customHeight="1">
      <c r="A11" s="13">
        <v>8</v>
      </c>
      <c r="B11" s="13" t="s">
        <v>166</v>
      </c>
      <c r="C11" s="13" t="s">
        <v>154</v>
      </c>
      <c r="D11" s="13" t="s">
        <v>167</v>
      </c>
      <c r="E11" s="13" t="s">
        <v>168</v>
      </c>
      <c r="F11" s="13" t="s">
        <v>169</v>
      </c>
      <c r="G11" s="13" t="s">
        <v>170</v>
      </c>
      <c r="H11" s="13" t="s">
        <v>171</v>
      </c>
    </row>
    <row r="12" ht="28.5" customHeight="1">
      <c r="A12" s="4">
        <v>9</v>
      </c>
      <c r="B12" s="4" t="s">
        <v>172</v>
      </c>
      <c r="C12" s="4" t="s">
        <v>121</v>
      </c>
      <c r="D12" s="4" t="s">
        <v>173</v>
      </c>
      <c r="E12" s="4" t="s">
        <v>123</v>
      </c>
      <c r="F12" s="4" t="s">
        <v>174</v>
      </c>
      <c r="G12" s="4" t="s">
        <v>175</v>
      </c>
      <c r="H12" s="4" t="s">
        <v>176</v>
      </c>
    </row>
    <row r="13" ht="28.5" customHeight="1">
      <c r="A13" s="13">
        <v>10</v>
      </c>
      <c r="B13" s="13" t="s">
        <v>177</v>
      </c>
      <c r="C13" s="13" t="s">
        <v>121</v>
      </c>
      <c r="D13" s="13" t="s">
        <v>178</v>
      </c>
      <c r="E13" s="13" t="s">
        <v>179</v>
      </c>
      <c r="F13" s="13" t="s">
        <v>180</v>
      </c>
      <c r="G13" s="13" t="s">
        <v>181</v>
      </c>
      <c r="H13" s="13" t="s">
        <v>182</v>
      </c>
    </row>
    <row r="16" ht="21" customHeight="1">
      <c r="A16" s="8" t="s">
        <v>183</v>
      </c>
    </row>
    <row r="17" ht="15" customHeight="1">
      <c r="A17" s="3" t="s">
        <v>113</v>
      </c>
      <c r="B17" s="3" t="s">
        <v>184</v>
      </c>
      <c r="C17" s="3" t="s">
        <v>185</v>
      </c>
      <c r="D17" s="3" t="s">
        <v>186</v>
      </c>
      <c r="E17" s="3" t="s">
        <v>187</v>
      </c>
      <c r="F17" s="3" t="s">
        <v>188</v>
      </c>
      <c r="G17" s="3" t="s">
        <v>189</v>
      </c>
      <c r="H17" s="3" t="s">
        <v>190</v>
      </c>
    </row>
    <row r="18" ht="18" customHeight="1">
      <c r="A18" s="14" t="s">
        <v>120</v>
      </c>
      <c r="B18" s="15">
        <v>5</v>
      </c>
      <c r="C18" s="15">
        <v>4</v>
      </c>
      <c r="D18" s="15">
        <v>3</v>
      </c>
      <c r="E18" s="15">
        <v>5</v>
      </c>
      <c r="F18" s="15">
        <v>2</v>
      </c>
      <c r="G18" s="15">
        <v>4</v>
      </c>
      <c r="H18" s="15">
        <f t="shared" si="0" ref="H18:H27">SUM(B18:G18)</f>
        <v>23</v>
      </c>
    </row>
    <row r="19" ht="18" customHeight="1">
      <c r="A19" s="16" t="s">
        <v>127</v>
      </c>
      <c r="B19" s="17">
        <v>4</v>
      </c>
      <c r="C19" s="17">
        <v>4</v>
      </c>
      <c r="D19" s="17">
        <v>2</v>
      </c>
      <c r="E19" s="17">
        <v>4</v>
      </c>
      <c r="F19" s="17">
        <v>1</v>
      </c>
      <c r="G19" s="17">
        <v>3</v>
      </c>
      <c r="H19" s="17">
        <f t="shared" si="0"/>
        <v>18</v>
      </c>
    </row>
    <row r="20" ht="18" customHeight="1">
      <c r="A20" s="14" t="s">
        <v>133</v>
      </c>
      <c r="B20" s="15">
        <v>4</v>
      </c>
      <c r="C20" s="15">
        <v>3</v>
      </c>
      <c r="D20" s="15">
        <v>5</v>
      </c>
      <c r="E20" s="15">
        <v>3</v>
      </c>
      <c r="F20" s="15">
        <v>1</v>
      </c>
      <c r="G20" s="15">
        <v>3</v>
      </c>
      <c r="H20" s="15">
        <f t="shared" si="0"/>
        <v>19</v>
      </c>
    </row>
    <row r="21" ht="18" customHeight="1">
      <c r="A21" s="16" t="s">
        <v>140</v>
      </c>
      <c r="B21" s="17">
        <v>3</v>
      </c>
      <c r="C21" s="17">
        <v>3</v>
      </c>
      <c r="D21" s="17">
        <v>4</v>
      </c>
      <c r="E21" s="17">
        <v>2</v>
      </c>
      <c r="F21" s="17">
        <v>1</v>
      </c>
      <c r="G21" s="17">
        <v>2</v>
      </c>
      <c r="H21" s="17">
        <f t="shared" si="0"/>
        <v>15</v>
      </c>
    </row>
    <row r="22" ht="18" customHeight="1">
      <c r="A22" s="14" t="s">
        <v>191</v>
      </c>
      <c r="B22" s="15">
        <v>3</v>
      </c>
      <c r="C22" s="15">
        <v>3</v>
      </c>
      <c r="D22" s="15">
        <v>5</v>
      </c>
      <c r="E22" s="15">
        <v>3</v>
      </c>
      <c r="F22" s="15">
        <v>1</v>
      </c>
      <c r="G22" s="15">
        <v>3</v>
      </c>
      <c r="H22" s="15">
        <f t="shared" si="0"/>
        <v>18</v>
      </c>
    </row>
    <row r="23" ht="18" customHeight="1">
      <c r="A23" s="16" t="s">
        <v>153</v>
      </c>
      <c r="B23" s="17">
        <v>3</v>
      </c>
      <c r="C23" s="17">
        <v>3</v>
      </c>
      <c r="D23" s="17">
        <v>2</v>
      </c>
      <c r="E23" s="17">
        <v>2</v>
      </c>
      <c r="F23" s="17">
        <v>1</v>
      </c>
      <c r="G23" s="17">
        <v>2</v>
      </c>
      <c r="H23" s="17">
        <f t="shared" si="0"/>
        <v>13</v>
      </c>
    </row>
    <row r="24" ht="18" customHeight="1">
      <c r="A24" s="14" t="s">
        <v>160</v>
      </c>
      <c r="B24" s="15">
        <v>3</v>
      </c>
      <c r="C24" s="15">
        <v>2</v>
      </c>
      <c r="D24" s="15">
        <v>2</v>
      </c>
      <c r="E24" s="15">
        <v>3</v>
      </c>
      <c r="F24" s="15">
        <v>1</v>
      </c>
      <c r="G24" s="15">
        <v>2</v>
      </c>
      <c r="H24" s="15">
        <f t="shared" si="0"/>
        <v>13</v>
      </c>
    </row>
    <row r="25" ht="18" customHeight="1">
      <c r="A25" s="16" t="s">
        <v>166</v>
      </c>
      <c r="B25" s="17">
        <v>2</v>
      </c>
      <c r="C25" s="17">
        <v>2</v>
      </c>
      <c r="D25" s="17">
        <v>2</v>
      </c>
      <c r="E25" s="17">
        <v>3</v>
      </c>
      <c r="F25" s="17">
        <v>3</v>
      </c>
      <c r="G25" s="17">
        <v>2</v>
      </c>
      <c r="H25" s="17">
        <f t="shared" si="0"/>
        <v>14</v>
      </c>
    </row>
    <row r="26" ht="18" customHeight="1">
      <c r="A26" s="14" t="s">
        <v>172</v>
      </c>
      <c r="B26" s="15">
        <v>3</v>
      </c>
      <c r="C26" s="15">
        <v>3</v>
      </c>
      <c r="D26" s="15">
        <v>2</v>
      </c>
      <c r="E26" s="15">
        <v>4</v>
      </c>
      <c r="F26" s="15">
        <v>1</v>
      </c>
      <c r="G26" s="15">
        <v>3</v>
      </c>
      <c r="H26" s="15">
        <f t="shared" si="0"/>
        <v>16</v>
      </c>
    </row>
    <row r="27" ht="18" customHeight="1">
      <c r="A27" s="18" t="s">
        <v>192</v>
      </c>
      <c r="B27" s="19">
        <v>5</v>
      </c>
      <c r="C27" s="19">
        <v>5</v>
      </c>
      <c r="D27" s="19">
        <v>5</v>
      </c>
      <c r="E27" s="19">
        <v>5</v>
      </c>
      <c r="F27" s="19">
        <v>5</v>
      </c>
      <c r="G27" s="19">
        <v>5</v>
      </c>
      <c r="H27" s="19">
        <f t="shared" si="0"/>
        <v>30</v>
      </c>
    </row>
  </sheetData>
  <mergeCells>
    <mergeCell ref="A1:H1"/>
    <mergeCell ref="A16:H16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DE22908-B0F8-29B5-9F38-92DEDE20D7E8}" mc:Ignorable="x14ac xr xr2 xr3">
  <dimension ref="A1:GR1000"/>
  <sheetViews>
    <sheetView topLeftCell="A1" workbookViewId="0">
      <pane ySplit="1" topLeftCell="A13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45.7109375" customWidth="1"/>
    <col min="3" max="3" width="40.00390625" customWidth="1"/>
    <col min="4" max="4" width="48.57421875" customWidth="1"/>
  </cols>
  <sheetData>
    <row r="1" ht="26.25" customHeight="1">
      <c r="A1" s="7" t="s">
        <v>193</v>
      </c>
    </row>
    <row r="3" ht="15" customHeight="1">
      <c r="A3" s="3" t="s">
        <v>2</v>
      </c>
      <c r="B3" s="3" t="s">
        <v>194</v>
      </c>
      <c r="C3" s="3" t="s">
        <v>195</v>
      </c>
      <c r="D3" s="3" t="s">
        <v>196</v>
      </c>
    </row>
    <row r="4" ht="24" customHeight="1">
      <c r="A4" s="15">
        <v>1</v>
      </c>
      <c r="B4" s="14" t="s">
        <v>197</v>
      </c>
      <c r="C4" s="14" t="s">
        <v>198</v>
      </c>
      <c r="D4" s="14" t="s">
        <v>199</v>
      </c>
    </row>
    <row r="5" ht="24" customHeight="1">
      <c r="A5" s="17">
        <v>2</v>
      </c>
      <c r="B5" s="16" t="s">
        <v>200</v>
      </c>
      <c r="C5" s="16" t="s">
        <v>201</v>
      </c>
      <c r="D5" s="16" t="s">
        <v>202</v>
      </c>
    </row>
    <row r="6" ht="24" customHeight="1">
      <c r="A6" s="15">
        <v>3</v>
      </c>
      <c r="B6" s="14" t="s">
        <v>203</v>
      </c>
      <c r="C6" s="14" t="s">
        <v>204</v>
      </c>
      <c r="D6" s="14" t="s">
        <v>205</v>
      </c>
    </row>
    <row r="7" ht="24" customHeight="1">
      <c r="A7" s="17">
        <v>4</v>
      </c>
      <c r="B7" s="16" t="s">
        <v>206</v>
      </c>
      <c r="C7" s="16" t="s">
        <v>207</v>
      </c>
      <c r="D7" s="16" t="s">
        <v>208</v>
      </c>
    </row>
    <row r="8" ht="24" customHeight="1">
      <c r="A8" s="15">
        <v>5</v>
      </c>
      <c r="B8" s="14" t="s">
        <v>209</v>
      </c>
      <c r="C8" s="14" t="s">
        <v>210</v>
      </c>
      <c r="D8" s="14" t="s">
        <v>211</v>
      </c>
    </row>
    <row r="9" ht="24" customHeight="1">
      <c r="A9" s="17">
        <v>6</v>
      </c>
      <c r="B9" s="16" t="s">
        <v>212</v>
      </c>
      <c r="C9" s="16" t="s">
        <v>213</v>
      </c>
      <c r="D9" s="16" t="s">
        <v>214</v>
      </c>
    </row>
    <row r="10" ht="24" customHeight="1">
      <c r="A10" s="15">
        <v>7</v>
      </c>
      <c r="B10" s="14" t="s">
        <v>215</v>
      </c>
      <c r="C10" s="14" t="s">
        <v>216</v>
      </c>
      <c r="D10" s="14" t="s">
        <v>217</v>
      </c>
    </row>
    <row r="11" ht="24" customHeight="1">
      <c r="A11" s="17">
        <v>8</v>
      </c>
      <c r="B11" s="16" t="s">
        <v>218</v>
      </c>
      <c r="C11" s="16" t="s">
        <v>219</v>
      </c>
      <c r="D11" s="16" t="s">
        <v>220</v>
      </c>
    </row>
    <row r="12" ht="24" customHeight="1">
      <c r="A12" s="15">
        <v>9</v>
      </c>
      <c r="B12" s="14" t="s">
        <v>221</v>
      </c>
      <c r="C12" s="14" t="s">
        <v>222</v>
      </c>
      <c r="D12" s="14" t="s">
        <v>223</v>
      </c>
    </row>
    <row r="13" ht="24" customHeight="1">
      <c r="A13" s="17">
        <v>10</v>
      </c>
      <c r="B13" s="16" t="s">
        <v>224</v>
      </c>
      <c r="C13" s="16" t="s">
        <v>225</v>
      </c>
      <c r="D13" s="16" t="s">
        <v>226</v>
      </c>
    </row>
    <row r="14" ht="24" customHeight="1">
      <c r="A14" s="15">
        <v>11</v>
      </c>
      <c r="B14" s="14" t="s">
        <v>227</v>
      </c>
      <c r="C14" s="14" t="s">
        <v>228</v>
      </c>
      <c r="D14" s="14" t="s">
        <v>229</v>
      </c>
    </row>
    <row r="15" ht="24" customHeight="1">
      <c r="A15" s="17">
        <v>12</v>
      </c>
      <c r="B15" s="16" t="s">
        <v>230</v>
      </c>
      <c r="C15" s="16" t="s">
        <v>231</v>
      </c>
      <c r="D15" s="16" t="s">
        <v>232</v>
      </c>
    </row>
    <row r="16" ht="24" customHeight="1">
      <c r="A16" s="15">
        <v>13</v>
      </c>
      <c r="B16" s="14" t="s">
        <v>233</v>
      </c>
      <c r="C16" s="14" t="s">
        <v>234</v>
      </c>
      <c r="D16" s="14" t="s">
        <v>235</v>
      </c>
    </row>
    <row r="17" ht="24" customHeight="1">
      <c r="A17" s="17">
        <v>14</v>
      </c>
      <c r="B17" s="16" t="s">
        <v>236</v>
      </c>
      <c r="C17" s="16" t="s">
        <v>237</v>
      </c>
      <c r="D17" s="16" t="s">
        <v>238</v>
      </c>
    </row>
    <row r="18" ht="24" customHeight="1">
      <c r="A18" s="15">
        <v>15</v>
      </c>
      <c r="B18" s="14" t="s">
        <v>239</v>
      </c>
      <c r="C18" s="14" t="s">
        <v>240</v>
      </c>
      <c r="D18" s="14" t="s">
        <v>241</v>
      </c>
    </row>
    <row r="19" ht="24" customHeight="1">
      <c r="A19" s="17">
        <v>16</v>
      </c>
      <c r="B19" s="16" t="s">
        <v>242</v>
      </c>
      <c r="C19" s="16" t="s">
        <v>243</v>
      </c>
      <c r="D19" s="16" t="s">
        <v>244</v>
      </c>
    </row>
    <row r="20" ht="24" customHeight="1">
      <c r="A20" s="15">
        <v>17</v>
      </c>
      <c r="B20" s="14" t="s">
        <v>245</v>
      </c>
      <c r="C20" s="14" t="s">
        <v>246</v>
      </c>
      <c r="D20" s="14" t="s">
        <v>247</v>
      </c>
    </row>
    <row r="21" ht="24" customHeight="1">
      <c r="A21" s="17">
        <v>18</v>
      </c>
      <c r="B21" s="16" t="s">
        <v>248</v>
      </c>
      <c r="C21" s="16" t="s">
        <v>249</v>
      </c>
      <c r="D21" s="16" t="s">
        <v>250</v>
      </c>
    </row>
    <row r="22" ht="24" customHeight="1">
      <c r="A22" s="15">
        <v>19</v>
      </c>
      <c r="B22" s="14" t="s">
        <v>251</v>
      </c>
      <c r="C22" s="14" t="s">
        <v>252</v>
      </c>
      <c r="D22" s="14" t="s">
        <v>253</v>
      </c>
    </row>
    <row r="23" ht="24" customHeight="1">
      <c r="A23" s="17">
        <v>20</v>
      </c>
      <c r="B23" s="16" t="s">
        <v>254</v>
      </c>
      <c r="C23" s="16" t="s">
        <v>255</v>
      </c>
      <c r="D23" s="16" t="s">
        <v>256</v>
      </c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10BB1A4-291C-5513-36B8-EBE9816FCB18}" mc:Ignorable="x14ac xr xr2 xr3">
  <dimension ref="A1:GR1000"/>
  <sheetViews>
    <sheetView topLeftCell="A1" workbookViewId="0">
      <pane ySplit="1" topLeftCell="A2" activePane="bottomLeft" state="frozen"/>
      <selection pane="bottomLeft" activeCell="A1" sqref="A1:C1"/>
    </sheetView>
  </sheetViews>
  <sheetFormatPr defaultRowHeight="15" defaultColWidth="8.8515625" customHeight="1"/>
  <cols>
    <col min="1" max="1" width="7.140625" customWidth="1"/>
    <col min="2" max="2" width="45.7109375" customWidth="1"/>
    <col min="3" max="3" width="54.28125" customWidth="1"/>
  </cols>
  <sheetData>
    <row r="1" ht="26.25" customHeight="1">
      <c r="A1" s="7" t="s">
        <v>257</v>
      </c>
    </row>
    <row r="3" ht="21" customHeight="1">
      <c r="A3" s="8" t="s">
        <v>258</v>
      </c>
    </row>
    <row r="4" ht="15" customHeight="1">
      <c r="A4" s="3" t="s">
        <v>2</v>
      </c>
      <c r="B4" s="3" t="s">
        <v>259</v>
      </c>
      <c r="C4" s="3" t="s">
        <v>260</v>
      </c>
    </row>
    <row r="5" ht="21" customHeight="1">
      <c r="A5" s="15">
        <v>1</v>
      </c>
      <c r="B5" s="14" t="s">
        <v>261</v>
      </c>
      <c r="C5" s="14" t="s">
        <v>262</v>
      </c>
    </row>
    <row r="6" ht="21" customHeight="1">
      <c r="A6" s="17">
        <v>2</v>
      </c>
      <c r="B6" s="16" t="s">
        <v>263</v>
      </c>
      <c r="C6" s="16" t="s">
        <v>264</v>
      </c>
    </row>
    <row r="7" ht="21" customHeight="1">
      <c r="A7" s="15">
        <v>3</v>
      </c>
      <c r="B7" s="14" t="s">
        <v>265</v>
      </c>
      <c r="C7" s="14" t="s">
        <v>266</v>
      </c>
    </row>
    <row r="8" ht="21" customHeight="1">
      <c r="A8" s="17">
        <v>4</v>
      </c>
      <c r="B8" s="16" t="s">
        <v>267</v>
      </c>
      <c r="C8" s="16" t="s">
        <v>268</v>
      </c>
    </row>
    <row r="9" ht="21" customHeight="1">
      <c r="A9" s="15">
        <v>5</v>
      </c>
      <c r="B9" s="14" t="s">
        <v>269</v>
      </c>
      <c r="C9" s="14" t="s">
        <v>270</v>
      </c>
    </row>
    <row r="11" ht="21" customHeight="1">
      <c r="A11" s="8" t="s">
        <v>271</v>
      </c>
    </row>
    <row r="12" ht="15" customHeight="1">
      <c r="A12" s="3" t="s">
        <v>2</v>
      </c>
      <c r="B12" s="3" t="s">
        <v>272</v>
      </c>
      <c r="C12" s="3" t="s">
        <v>195</v>
      </c>
    </row>
    <row r="13" ht="21" customHeight="1">
      <c r="A13" s="15">
        <v>1</v>
      </c>
      <c r="B13" s="14" t="s">
        <v>273</v>
      </c>
      <c r="C13" s="14" t="s">
        <v>274</v>
      </c>
    </row>
    <row r="14" ht="21" customHeight="1">
      <c r="A14" s="17">
        <v>2</v>
      </c>
      <c r="B14" s="16" t="s">
        <v>275</v>
      </c>
      <c r="C14" s="16" t="s">
        <v>276</v>
      </c>
    </row>
    <row r="15" ht="21" customHeight="1">
      <c r="A15" s="15">
        <v>3</v>
      </c>
      <c r="B15" s="14" t="s">
        <v>277</v>
      </c>
      <c r="C15" s="14" t="s">
        <v>278</v>
      </c>
    </row>
    <row r="16" ht="21" customHeight="1">
      <c r="A16" s="17">
        <v>4</v>
      </c>
      <c r="B16" s="16" t="s">
        <v>279</v>
      </c>
      <c r="C16" s="16" t="s">
        <v>280</v>
      </c>
    </row>
    <row r="17" ht="21" customHeight="1">
      <c r="A17" s="15">
        <v>5</v>
      </c>
      <c r="B17" s="14" t="s">
        <v>281</v>
      </c>
      <c r="C17" s="14" t="s">
        <v>282</v>
      </c>
    </row>
    <row r="18" ht="21" customHeight="1">
      <c r="A18" s="17">
        <v>6</v>
      </c>
      <c r="B18" s="16" t="s">
        <v>283</v>
      </c>
      <c r="C18" s="16" t="s">
        <v>284</v>
      </c>
    </row>
    <row r="19" ht="21" customHeight="1">
      <c r="A19" s="15">
        <v>7</v>
      </c>
      <c r="B19" s="14" t="s">
        <v>285</v>
      </c>
      <c r="C19" s="14" t="s">
        <v>286</v>
      </c>
    </row>
    <row r="20" ht="21" customHeight="1">
      <c r="A20" s="17">
        <v>8</v>
      </c>
      <c r="B20" s="16" t="s">
        <v>287</v>
      </c>
      <c r="C20" s="16" t="s">
        <v>288</v>
      </c>
    </row>
    <row r="21" ht="21" customHeight="1">
      <c r="A21" s="15">
        <v>9</v>
      </c>
      <c r="B21" s="14" t="s">
        <v>289</v>
      </c>
      <c r="C21" s="14" t="s">
        <v>290</v>
      </c>
    </row>
    <row r="22" ht="21" customHeight="1">
      <c r="A22" s="17">
        <v>10</v>
      </c>
      <c r="B22" s="16" t="s">
        <v>291</v>
      </c>
      <c r="C22" s="16" t="s">
        <v>237</v>
      </c>
    </row>
    <row r="24" ht="21" customHeight="1">
      <c r="A24" s="8" t="s">
        <v>292</v>
      </c>
    </row>
    <row r="25" ht="15" customHeight="1">
      <c r="A25" s="3" t="s">
        <v>2</v>
      </c>
      <c r="B25" s="3" t="s">
        <v>293</v>
      </c>
      <c r="C25" s="3" t="s">
        <v>294</v>
      </c>
    </row>
    <row r="26" ht="21" customHeight="1">
      <c r="A26" s="20">
        <v>1</v>
      </c>
      <c r="B26" s="21" t="s">
        <v>85</v>
      </c>
      <c r="C26" s="21" t="s">
        <v>295</v>
      </c>
    </row>
    <row r="27" ht="21" customHeight="1">
      <c r="A27" s="22">
        <v>2</v>
      </c>
      <c r="B27" s="23" t="s">
        <v>296</v>
      </c>
      <c r="C27" s="23" t="s">
        <v>297</v>
      </c>
    </row>
    <row r="28" ht="21" customHeight="1">
      <c r="A28" s="20">
        <v>3</v>
      </c>
      <c r="B28" s="21" t="s">
        <v>298</v>
      </c>
      <c r="C28" s="21" t="s">
        <v>299</v>
      </c>
    </row>
    <row r="29" ht="21" customHeight="1">
      <c r="A29" s="22">
        <v>4</v>
      </c>
      <c r="B29" s="23" t="s">
        <v>300</v>
      </c>
      <c r="C29" s="23" t="s">
        <v>301</v>
      </c>
    </row>
    <row r="30" ht="21" customHeight="1">
      <c r="A30" s="20">
        <v>5</v>
      </c>
      <c r="B30" s="21" t="s">
        <v>302</v>
      </c>
      <c r="C30" s="21" t="s">
        <v>303</v>
      </c>
    </row>
    <row r="31" ht="21" customHeight="1">
      <c r="A31" s="22">
        <v>6</v>
      </c>
      <c r="B31" s="23" t="s">
        <v>304</v>
      </c>
      <c r="C31" s="23" t="s">
        <v>305</v>
      </c>
    </row>
  </sheetData>
  <mergeCells>
    <mergeCell ref="A1:C1"/>
    <mergeCell ref="A3:C3"/>
    <mergeCell ref="A11:C11"/>
    <mergeCell ref="A24:C24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C806E014-A0C8-FA8C-7FB8-8C968482A478}" mc:Ignorable="x14ac xr xr2 xr3">
  <dimension ref="A1:GR1000"/>
  <sheetViews>
    <sheetView topLeftCell="A1" workbookViewId="0">
      <pane ySplit="1" topLeftCell="A2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35.7109375" customWidth="1"/>
    <col min="3" max="3" width="40.00390625" customWidth="1"/>
    <col min="4" max="4" width="45.7109375" customWidth="1"/>
  </cols>
  <sheetData>
    <row r="1" ht="26.25" customHeight="1">
      <c r="A1" s="7" t="s">
        <v>306</v>
      </c>
    </row>
    <row r="3" ht="15" customHeight="1">
      <c r="A3" s="3" t="s">
        <v>2</v>
      </c>
      <c r="B3" s="3" t="s">
        <v>307</v>
      </c>
      <c r="C3" s="3" t="s">
        <v>308</v>
      </c>
      <c r="D3" s="3" t="s">
        <v>309</v>
      </c>
    </row>
    <row r="4" ht="24" customHeight="1">
      <c r="A4" s="20">
        <v>1</v>
      </c>
      <c r="B4" s="21" t="s">
        <v>199</v>
      </c>
      <c r="C4" s="21" t="s">
        <v>310</v>
      </c>
      <c r="D4" s="21" t="s">
        <v>311</v>
      </c>
    </row>
    <row r="5" ht="24" customHeight="1">
      <c r="A5" s="22">
        <v>2</v>
      </c>
      <c r="B5" s="23" t="s">
        <v>300</v>
      </c>
      <c r="C5" s="23" t="s">
        <v>312</v>
      </c>
      <c r="D5" s="23" t="s">
        <v>313</v>
      </c>
    </row>
    <row r="6" ht="24" customHeight="1">
      <c r="A6" s="20">
        <v>3</v>
      </c>
      <c r="B6" s="21" t="s">
        <v>314</v>
      </c>
      <c r="C6" s="21" t="s">
        <v>315</v>
      </c>
      <c r="D6" s="21" t="s">
        <v>316</v>
      </c>
    </row>
    <row r="7" ht="24" customHeight="1">
      <c r="A7" s="22">
        <v>4</v>
      </c>
      <c r="B7" s="23" t="s">
        <v>317</v>
      </c>
      <c r="C7" s="23" t="s">
        <v>318</v>
      </c>
      <c r="D7" s="23" t="s">
        <v>319</v>
      </c>
    </row>
    <row r="8" ht="24" customHeight="1">
      <c r="A8" s="20">
        <v>5</v>
      </c>
      <c r="B8" s="21" t="s">
        <v>320</v>
      </c>
      <c r="C8" s="21" t="s">
        <v>321</v>
      </c>
      <c r="D8" s="21" t="s">
        <v>322</v>
      </c>
    </row>
    <row r="9" ht="24" customHeight="1">
      <c r="A9" s="22">
        <v>6</v>
      </c>
      <c r="B9" s="23" t="s">
        <v>323</v>
      </c>
      <c r="C9" s="23" t="s">
        <v>324</v>
      </c>
      <c r="D9" s="23" t="s">
        <v>303</v>
      </c>
    </row>
    <row r="10" ht="24" customHeight="1">
      <c r="A10" s="20">
        <v>7</v>
      </c>
      <c r="B10" s="21" t="s">
        <v>103</v>
      </c>
      <c r="C10" s="21" t="s">
        <v>325</v>
      </c>
      <c r="D10" s="21" t="s">
        <v>326</v>
      </c>
    </row>
    <row r="11" ht="24" customHeight="1">
      <c r="A11" s="22">
        <v>8</v>
      </c>
      <c r="B11" s="23" t="s">
        <v>327</v>
      </c>
      <c r="C11" s="23" t="s">
        <v>328</v>
      </c>
      <c r="D11" s="23" t="s">
        <v>329</v>
      </c>
    </row>
    <row r="12" ht="24" customHeight="1">
      <c r="A12" s="20">
        <v>9</v>
      </c>
      <c r="B12" s="21" t="s">
        <v>330</v>
      </c>
      <c r="C12" s="21" t="s">
        <v>331</v>
      </c>
      <c r="D12" s="21" t="s">
        <v>332</v>
      </c>
    </row>
    <row r="13" ht="24" customHeight="1">
      <c r="A13" s="22">
        <v>10</v>
      </c>
      <c r="B13" s="23" t="s">
        <v>333</v>
      </c>
      <c r="C13" s="23" t="s">
        <v>288</v>
      </c>
      <c r="D13" s="23" t="s">
        <v>334</v>
      </c>
    </row>
    <row r="14" ht="24" customHeight="1">
      <c r="A14" s="20">
        <v>11</v>
      </c>
      <c r="B14" s="21" t="s">
        <v>335</v>
      </c>
      <c r="C14" s="21" t="s">
        <v>336</v>
      </c>
      <c r="D14" s="21" t="s">
        <v>337</v>
      </c>
    </row>
    <row r="15" ht="24" customHeight="1">
      <c r="A15" s="22">
        <v>12</v>
      </c>
      <c r="B15" s="23" t="s">
        <v>338</v>
      </c>
      <c r="C15" s="23" t="s">
        <v>339</v>
      </c>
      <c r="D15" s="23" t="s">
        <v>340</v>
      </c>
    </row>
    <row r="16" ht="24" customHeight="1">
      <c r="A16" s="20">
        <v>13</v>
      </c>
      <c r="B16" s="21" t="s">
        <v>341</v>
      </c>
      <c r="C16" s="21" t="s">
        <v>342</v>
      </c>
      <c r="D16" s="21" t="s">
        <v>343</v>
      </c>
    </row>
    <row r="17" ht="24" customHeight="1">
      <c r="A17" s="22">
        <v>14</v>
      </c>
      <c r="B17" s="23" t="s">
        <v>344</v>
      </c>
      <c r="C17" s="23" t="s">
        <v>345</v>
      </c>
      <c r="D17" s="23" t="s">
        <v>346</v>
      </c>
    </row>
    <row r="18" ht="24" customHeight="1">
      <c r="A18" s="20">
        <v>15</v>
      </c>
      <c r="B18" s="21" t="s">
        <v>347</v>
      </c>
      <c r="C18" s="21" t="s">
        <v>348</v>
      </c>
      <c r="D18" s="21" t="s">
        <v>349</v>
      </c>
    </row>
    <row r="19" ht="24" customHeight="1">
      <c r="A19" s="22">
        <v>16</v>
      </c>
      <c r="B19" s="23" t="s">
        <v>350</v>
      </c>
      <c r="C19" s="23" t="s">
        <v>351</v>
      </c>
      <c r="D19" s="23" t="s">
        <v>352</v>
      </c>
    </row>
    <row r="20" ht="24" customHeight="1">
      <c r="A20" s="20">
        <v>17</v>
      </c>
      <c r="B20" s="21" t="s">
        <v>353</v>
      </c>
      <c r="C20" s="21" t="s">
        <v>354</v>
      </c>
      <c r="D20" s="21" t="s">
        <v>355</v>
      </c>
    </row>
    <row r="21" ht="24" customHeight="1">
      <c r="A21" s="22">
        <v>18</v>
      </c>
      <c r="B21" s="23" t="s">
        <v>356</v>
      </c>
      <c r="C21" s="23" t="s">
        <v>357</v>
      </c>
      <c r="D21" s="23" t="s">
        <v>358</v>
      </c>
    </row>
    <row r="22" ht="24" customHeight="1">
      <c r="A22" s="20">
        <v>19</v>
      </c>
      <c r="B22" s="21" t="s">
        <v>359</v>
      </c>
      <c r="C22" s="21" t="s">
        <v>360</v>
      </c>
      <c r="D22" s="21" t="s">
        <v>361</v>
      </c>
    </row>
    <row r="23" ht="24" customHeight="1">
      <c r="A23" s="22">
        <v>20</v>
      </c>
      <c r="B23" s="23" t="s">
        <v>362</v>
      </c>
      <c r="C23" s="23" t="s">
        <v>363</v>
      </c>
      <c r="D23" s="23" t="s">
        <v>364</v>
      </c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8329BDF-50D7-54B1-9BD5-F568538E4BEE}" mc:Ignorable="x14ac xr xr2 xr3">
  <dimension ref="A1:GR1000"/>
  <sheetViews>
    <sheetView topLeftCell="A1" workbookViewId="0">
      <pane ySplit="1" topLeftCell="A17" activePane="bottomLeft" state="frozen"/>
      <selection pane="bottomLeft" activeCell="A1" sqref="A1:D1"/>
    </sheetView>
  </sheetViews>
  <sheetFormatPr defaultRowHeight="15" defaultColWidth="8.8515625" customHeight="1"/>
  <cols>
    <col min="1" max="1" width="31.421875" customWidth="1"/>
    <col min="2" max="2" width="37.140625" customWidth="1"/>
    <col min="3" max="3" width="31.421875" customWidth="1"/>
    <col min="4" max="4" width="40.00390625" customWidth="1"/>
  </cols>
  <sheetData>
    <row r="1" ht="26.25" customHeight="1">
      <c r="A1" s="7" t="s">
        <v>365</v>
      </c>
    </row>
    <row r="3" ht="15" customHeight="1">
      <c r="A3" s="3" t="s">
        <v>366</v>
      </c>
      <c r="B3" s="3" t="s">
        <v>367</v>
      </c>
      <c r="C3" s="3" t="s">
        <v>368</v>
      </c>
      <c r="D3" s="3" t="s">
        <v>369</v>
      </c>
    </row>
    <row r="4" ht="21" customHeight="1">
      <c r="A4" s="4" t="s">
        <v>370</v>
      </c>
      <c r="B4" s="4" t="s">
        <v>371</v>
      </c>
      <c r="C4" s="4" t="s">
        <v>372</v>
      </c>
      <c r="D4" s="4" t="s">
        <v>373</v>
      </c>
    </row>
    <row r="5" ht="21" customHeight="1">
      <c r="A5" s="11" t="s">
        <v>374</v>
      </c>
      <c r="B5" s="11" t="s">
        <v>375</v>
      </c>
      <c r="C5" s="11" t="s">
        <v>376</v>
      </c>
      <c r="D5" s="11" t="s">
        <v>377</v>
      </c>
    </row>
    <row r="6" ht="21" customHeight="1">
      <c r="A6" s="4" t="s">
        <v>378</v>
      </c>
      <c r="B6" s="4" t="s">
        <v>379</v>
      </c>
      <c r="C6" s="4" t="s">
        <v>380</v>
      </c>
      <c r="D6" s="4" t="s">
        <v>381</v>
      </c>
    </row>
    <row r="7" ht="21" customHeight="1">
      <c r="A7" s="11" t="s">
        <v>382</v>
      </c>
      <c r="B7" s="11" t="s">
        <v>383</v>
      </c>
      <c r="C7" s="11" t="s">
        <v>384</v>
      </c>
      <c r="D7" s="11" t="s">
        <v>385</v>
      </c>
    </row>
    <row r="8" ht="21" customHeight="1">
      <c r="A8" s="4" t="s">
        <v>386</v>
      </c>
      <c r="B8" s="4" t="s">
        <v>387</v>
      </c>
      <c r="C8" s="4" t="s">
        <v>388</v>
      </c>
      <c r="D8" s="4" t="s">
        <v>389</v>
      </c>
    </row>
    <row r="9" ht="21" customHeight="1">
      <c r="A9" s="11" t="s">
        <v>390</v>
      </c>
      <c r="B9" s="11" t="s">
        <v>391</v>
      </c>
      <c r="C9" s="11" t="s">
        <v>392</v>
      </c>
      <c r="D9" s="11" t="s">
        <v>393</v>
      </c>
    </row>
    <row r="10" ht="21" customHeight="1">
      <c r="A10" s="4" t="s">
        <v>394</v>
      </c>
      <c r="B10" s="4" t="s">
        <v>395</v>
      </c>
      <c r="C10" s="4" t="s">
        <v>396</v>
      </c>
      <c r="D10" s="4" t="s">
        <v>397</v>
      </c>
    </row>
    <row r="11" ht="21" customHeight="1">
      <c r="A11" s="11" t="s">
        <v>398</v>
      </c>
      <c r="B11" s="11" t="s">
        <v>399</v>
      </c>
      <c r="C11" s="11" t="s">
        <v>400</v>
      </c>
      <c r="D11" s="11" t="s">
        <v>401</v>
      </c>
    </row>
    <row r="12" ht="21" customHeight="1">
      <c r="A12" s="4" t="s">
        <v>402</v>
      </c>
      <c r="B12" s="4" t="s">
        <v>403</v>
      </c>
      <c r="C12" s="4" t="s">
        <v>404</v>
      </c>
      <c r="D12" s="4" t="s">
        <v>405</v>
      </c>
    </row>
    <row r="13" ht="21" customHeight="1">
      <c r="A13" s="11" t="s">
        <v>406</v>
      </c>
      <c r="B13" s="11" t="s">
        <v>407</v>
      </c>
      <c r="C13" s="11" t="s">
        <v>408</v>
      </c>
      <c r="D13" s="11" t="s">
        <v>409</v>
      </c>
    </row>
    <row r="14" ht="21" customHeight="1">
      <c r="A14" s="4" t="s">
        <v>410</v>
      </c>
      <c r="B14" s="4" t="s">
        <v>411</v>
      </c>
      <c r="C14" s="4" t="s">
        <v>412</v>
      </c>
      <c r="D14" s="4" t="s">
        <v>413</v>
      </c>
    </row>
    <row r="15" ht="21" customHeight="1">
      <c r="A15" s="11" t="s">
        <v>414</v>
      </c>
      <c r="B15" s="11" t="s">
        <v>415</v>
      </c>
      <c r="C15" s="11" t="s">
        <v>416</v>
      </c>
      <c r="D15" s="11" t="s">
        <v>417</v>
      </c>
    </row>
    <row r="16" ht="21" customHeight="1">
      <c r="A16" s="4" t="s">
        <v>418</v>
      </c>
      <c r="B16" s="4" t="s">
        <v>419</v>
      </c>
      <c r="C16" s="4" t="s">
        <v>420</v>
      </c>
      <c r="D16" s="4" t="s">
        <v>421</v>
      </c>
    </row>
    <row r="17" ht="21" customHeight="1">
      <c r="A17" s="11" t="s">
        <v>422</v>
      </c>
      <c r="B17" s="11" t="s">
        <v>423</v>
      </c>
      <c r="C17" s="11" t="s">
        <v>424</v>
      </c>
      <c r="D17" s="11" t="s">
        <v>425</v>
      </c>
    </row>
    <row r="18" ht="21" customHeight="1">
      <c r="A18" s="4" t="s">
        <v>426</v>
      </c>
      <c r="B18" s="4" t="s">
        <v>427</v>
      </c>
      <c r="C18" s="4" t="s">
        <v>428</v>
      </c>
      <c r="D18" s="4" t="s">
        <v>429</v>
      </c>
    </row>
    <row r="19" ht="21" customHeight="1">
      <c r="A19" s="11" t="s">
        <v>430</v>
      </c>
      <c r="B19" s="11" t="s">
        <v>431</v>
      </c>
      <c r="C19" s="11" t="s">
        <v>432</v>
      </c>
      <c r="D19" s="11" t="s">
        <v>433</v>
      </c>
    </row>
    <row r="20" ht="21" customHeight="1">
      <c r="A20" s="4" t="s">
        <v>434</v>
      </c>
      <c r="B20" s="4" t="s">
        <v>435</v>
      </c>
      <c r="C20" s="4" t="s">
        <v>436</v>
      </c>
      <c r="D20" s="4" t="s">
        <v>437</v>
      </c>
    </row>
    <row r="21" ht="21" customHeight="1">
      <c r="A21" s="11" t="s">
        <v>438</v>
      </c>
      <c r="B21" s="11" t="s">
        <v>439</v>
      </c>
      <c r="C21" s="11" t="s">
        <v>440</v>
      </c>
      <c r="D21" s="11" t="s">
        <v>441</v>
      </c>
    </row>
    <row r="22" ht="21" customHeight="1">
      <c r="A22" s="4" t="s">
        <v>442</v>
      </c>
      <c r="B22" s="4" t="s">
        <v>443</v>
      </c>
      <c r="C22" s="4" t="s">
        <v>444</v>
      </c>
      <c r="D22" s="4" t="s">
        <v>445</v>
      </c>
    </row>
    <row r="23" ht="21" customHeight="1">
      <c r="A23" s="11" t="s">
        <v>446</v>
      </c>
      <c r="B23" s="11" t="s">
        <v>447</v>
      </c>
      <c r="C23" s="11" t="s">
        <v>448</v>
      </c>
      <c r="D23" s="11" t="s">
        <v>449</v>
      </c>
    </row>
    <row r="24" ht="21" customHeight="1">
      <c r="A24" s="4" t="s">
        <v>450</v>
      </c>
      <c r="B24" s="4" t="s">
        <v>451</v>
      </c>
      <c r="C24" s="4" t="s">
        <v>452</v>
      </c>
      <c r="D24" s="4" t="s">
        <v>453</v>
      </c>
    </row>
    <row r="25" ht="21" customHeight="1">
      <c r="A25" s="11" t="s">
        <v>454</v>
      </c>
      <c r="B25" s="11" t="s">
        <v>455</v>
      </c>
      <c r="C25" s="11" t="s">
        <v>456</v>
      </c>
      <c r="D25" s="11" t="s">
        <v>457</v>
      </c>
    </row>
    <row r="26" ht="21" customHeight="1">
      <c r="A26" s="4" t="s">
        <v>458</v>
      </c>
      <c r="B26" s="4" t="s">
        <v>459</v>
      </c>
      <c r="C26" s="4" t="s">
        <v>460</v>
      </c>
      <c r="D26" s="4" t="s">
        <v>461</v>
      </c>
    </row>
    <row r="27" ht="21" customHeight="1">
      <c r="A27" s="11" t="s">
        <v>462</v>
      </c>
      <c r="B27" s="11" t="s">
        <v>463</v>
      </c>
      <c r="C27" s="11" t="s">
        <v>464</v>
      </c>
      <c r="D27" s="11" t="s">
        <v>465</v>
      </c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DA182D79-0206-4FAA-661D-9B9DAA01F617}" mc:Ignorable="x14ac xr xr2 xr3">
  <dimension ref="A1:GR1000"/>
  <sheetViews>
    <sheetView topLeftCell="A1" workbookViewId="0">
      <pane ySplit="1" topLeftCell="A16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31.421875" customWidth="1"/>
    <col min="3" max="3" width="45.7109375" customWidth="1"/>
    <col min="4" max="4" width="34.28125" customWidth="1"/>
  </cols>
  <sheetData>
    <row r="1" ht="26.25" customHeight="1">
      <c r="A1" s="7" t="s">
        <v>466</v>
      </c>
    </row>
    <row r="3" ht="15" customHeight="1">
      <c r="A3" s="3" t="s">
        <v>2</v>
      </c>
      <c r="B3" s="3" t="s">
        <v>467</v>
      </c>
      <c r="C3" s="3" t="s">
        <v>468</v>
      </c>
      <c r="D3" s="3" t="s">
        <v>469</v>
      </c>
    </row>
    <row r="4" ht="19.5" customHeight="1">
      <c r="A4" s="15">
        <v>1</v>
      </c>
      <c r="B4" s="14" t="s">
        <v>470</v>
      </c>
      <c r="C4" s="14" t="s">
        <v>471</v>
      </c>
      <c r="D4" s="14" t="s">
        <v>472</v>
      </c>
    </row>
    <row r="5" ht="19.5" customHeight="1">
      <c r="A5" s="17">
        <v>2</v>
      </c>
      <c r="B5" s="16" t="s">
        <v>473</v>
      </c>
      <c r="C5" s="16" t="s">
        <v>474</v>
      </c>
      <c r="D5" s="16" t="s">
        <v>475</v>
      </c>
    </row>
    <row r="6" ht="19.5" customHeight="1">
      <c r="A6" s="15">
        <v>3</v>
      </c>
      <c r="B6" s="14" t="s">
        <v>476</v>
      </c>
      <c r="C6" s="14" t="s">
        <v>477</v>
      </c>
      <c r="D6" s="14" t="s">
        <v>478</v>
      </c>
    </row>
    <row r="7" ht="19.5" customHeight="1">
      <c r="A7" s="17">
        <v>4</v>
      </c>
      <c r="B7" s="16" t="s">
        <v>479</v>
      </c>
      <c r="C7" s="16" t="s">
        <v>480</v>
      </c>
      <c r="D7" s="16" t="s">
        <v>481</v>
      </c>
    </row>
    <row r="8" ht="19.5" customHeight="1">
      <c r="A8" s="15">
        <v>5</v>
      </c>
      <c r="B8" s="14" t="s">
        <v>482</v>
      </c>
      <c r="C8" s="14" t="s">
        <v>483</v>
      </c>
      <c r="D8" s="14" t="s">
        <v>484</v>
      </c>
    </row>
    <row r="9" ht="19.5" customHeight="1">
      <c r="A9" s="17">
        <v>6</v>
      </c>
      <c r="B9" s="16" t="s">
        <v>485</v>
      </c>
      <c r="C9" s="16" t="s">
        <v>486</v>
      </c>
      <c r="D9" s="16" t="s">
        <v>487</v>
      </c>
    </row>
    <row r="10" ht="19.5" customHeight="1">
      <c r="A10" s="15">
        <v>7</v>
      </c>
      <c r="B10" s="14" t="s">
        <v>488</v>
      </c>
      <c r="C10" s="14" t="s">
        <v>489</v>
      </c>
      <c r="D10" s="14" t="s">
        <v>490</v>
      </c>
    </row>
    <row r="11" ht="19.5" customHeight="1">
      <c r="A11" s="17">
        <v>8</v>
      </c>
      <c r="B11" s="16" t="s">
        <v>491</v>
      </c>
      <c r="C11" s="16" t="s">
        <v>492</v>
      </c>
      <c r="D11" s="16" t="s">
        <v>493</v>
      </c>
    </row>
    <row r="12" ht="19.5" customHeight="1">
      <c r="A12" s="15">
        <v>9</v>
      </c>
      <c r="B12" s="14" t="s">
        <v>494</v>
      </c>
      <c r="C12" s="14" t="s">
        <v>495</v>
      </c>
      <c r="D12" s="14" t="s">
        <v>496</v>
      </c>
    </row>
    <row r="13" ht="19.5" customHeight="1">
      <c r="A13" s="17">
        <v>10</v>
      </c>
      <c r="B13" s="16" t="s">
        <v>497</v>
      </c>
      <c r="C13" s="16" t="s">
        <v>498</v>
      </c>
      <c r="D13" s="16" t="s">
        <v>499</v>
      </c>
    </row>
    <row r="14" ht="19.5" customHeight="1">
      <c r="A14" s="15">
        <v>11</v>
      </c>
      <c r="B14" s="14" t="s">
        <v>500</v>
      </c>
      <c r="C14" s="14" t="s">
        <v>501</v>
      </c>
      <c r="D14" s="14" t="s">
        <v>502</v>
      </c>
    </row>
    <row r="15" ht="19.5" customHeight="1">
      <c r="A15" s="17">
        <v>12</v>
      </c>
      <c r="B15" s="16" t="s">
        <v>503</v>
      </c>
      <c r="C15" s="16" t="s">
        <v>504</v>
      </c>
      <c r="D15" s="16" t="s">
        <v>505</v>
      </c>
    </row>
    <row r="16" ht="19.5" customHeight="1">
      <c r="A16" s="15">
        <v>13</v>
      </c>
      <c r="B16" s="14" t="s">
        <v>506</v>
      </c>
      <c r="C16" s="14" t="s">
        <v>507</v>
      </c>
      <c r="D16" s="14" t="s">
        <v>508</v>
      </c>
    </row>
    <row r="17" ht="19.5" customHeight="1">
      <c r="A17" s="17">
        <v>14</v>
      </c>
      <c r="B17" s="16" t="s">
        <v>509</v>
      </c>
      <c r="C17" s="16" t="s">
        <v>510</v>
      </c>
      <c r="D17" s="16" t="s">
        <v>511</v>
      </c>
    </row>
    <row r="18" ht="19.5" customHeight="1">
      <c r="A18" s="15">
        <v>15</v>
      </c>
      <c r="B18" s="14" t="s">
        <v>512</v>
      </c>
      <c r="C18" s="14" t="s">
        <v>513</v>
      </c>
      <c r="D18" s="14" t="s">
        <v>514</v>
      </c>
    </row>
    <row r="19" ht="19.5" customHeight="1">
      <c r="A19" s="17">
        <v>16</v>
      </c>
      <c r="B19" s="16" t="s">
        <v>515</v>
      </c>
      <c r="C19" s="16" t="s">
        <v>516</v>
      </c>
      <c r="D19" s="16" t="s">
        <v>517</v>
      </c>
    </row>
    <row r="20" ht="19.5" customHeight="1">
      <c r="A20" s="15">
        <v>17</v>
      </c>
      <c r="B20" s="14" t="s">
        <v>518</v>
      </c>
      <c r="C20" s="14" t="s">
        <v>519</v>
      </c>
      <c r="D20" s="14" t="s">
        <v>520</v>
      </c>
    </row>
    <row r="21" ht="19.5" customHeight="1">
      <c r="A21" s="17">
        <v>18</v>
      </c>
      <c r="B21" s="16" t="s">
        <v>521</v>
      </c>
      <c r="C21" s="16" t="s">
        <v>522</v>
      </c>
      <c r="D21" s="16" t="s">
        <v>523</v>
      </c>
    </row>
    <row r="22" ht="19.5" customHeight="1">
      <c r="A22" s="15">
        <v>19</v>
      </c>
      <c r="B22" s="14" t="s">
        <v>524</v>
      </c>
      <c r="C22" s="14" t="s">
        <v>525</v>
      </c>
      <c r="D22" s="14" t="s">
        <v>526</v>
      </c>
    </row>
    <row r="23" ht="19.5" customHeight="1">
      <c r="A23" s="17">
        <v>20</v>
      </c>
      <c r="B23" s="16" t="s">
        <v>527</v>
      </c>
      <c r="C23" s="16" t="s">
        <v>528</v>
      </c>
      <c r="D23" s="16" t="s">
        <v>529</v>
      </c>
    </row>
    <row r="24" ht="19.5" customHeight="1">
      <c r="A24" s="15">
        <v>21</v>
      </c>
      <c r="B24" s="14" t="s">
        <v>530</v>
      </c>
      <c r="C24" s="14" t="s">
        <v>531</v>
      </c>
      <c r="D24" s="14" t="s">
        <v>532</v>
      </c>
    </row>
    <row r="25" ht="19.5" customHeight="1">
      <c r="A25" s="17">
        <v>22</v>
      </c>
      <c r="B25" s="16" t="s">
        <v>533</v>
      </c>
      <c r="C25" s="16" t="s">
        <v>534</v>
      </c>
      <c r="D25" s="16" t="s">
        <v>535</v>
      </c>
    </row>
    <row r="26" ht="19.5" customHeight="1">
      <c r="A26" s="15">
        <v>23</v>
      </c>
      <c r="B26" s="14" t="s">
        <v>536</v>
      </c>
      <c r="C26" s="14" t="s">
        <v>537</v>
      </c>
      <c r="D26" s="14" t="s">
        <v>538</v>
      </c>
    </row>
    <row r="27" ht="19.5" customHeight="1">
      <c r="A27" s="17">
        <v>24</v>
      </c>
      <c r="B27" s="16" t="s">
        <v>539</v>
      </c>
      <c r="C27" s="16" t="s">
        <v>540</v>
      </c>
      <c r="D27" s="16" t="s">
        <v>541</v>
      </c>
    </row>
    <row r="28" ht="19.5" customHeight="1">
      <c r="A28" s="15">
        <v>25</v>
      </c>
      <c r="B28" s="14" t="s">
        <v>542</v>
      </c>
      <c r="C28" s="14" t="s">
        <v>543</v>
      </c>
      <c r="D28" s="14" t="s">
        <v>544</v>
      </c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F99C3B23-1788-B458-1143-C0D0597BFEB8}" mc:Ignorable="x14ac xr xr2 xr3">
  <dimension ref="A1:GR1000"/>
  <sheetViews>
    <sheetView topLeftCell="A1" workbookViewId="0">
      <pane ySplit="1" topLeftCell="A2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34.28125" customWidth="1"/>
    <col min="3" max="3" width="48.57421875" customWidth="1"/>
    <col min="4" max="4" width="37.140625" customWidth="1"/>
  </cols>
  <sheetData>
    <row r="1" ht="26.25" customHeight="1">
      <c r="A1" s="7" t="s">
        <v>545</v>
      </c>
    </row>
    <row r="3" ht="15" customHeight="1">
      <c r="A3" s="3" t="s">
        <v>2</v>
      </c>
      <c r="B3" s="3" t="s">
        <v>546</v>
      </c>
      <c r="C3" s="3" t="s">
        <v>4</v>
      </c>
      <c r="D3" s="3" t="s">
        <v>547</v>
      </c>
    </row>
    <row r="4" ht="21" customHeight="1">
      <c r="A4" s="15">
        <v>1</v>
      </c>
      <c r="B4" s="14" t="s">
        <v>548</v>
      </c>
      <c r="C4" s="14" t="s">
        <v>549</v>
      </c>
      <c r="D4" s="14" t="s">
        <v>550</v>
      </c>
    </row>
    <row r="5" ht="21" customHeight="1">
      <c r="A5" s="17">
        <v>2</v>
      </c>
      <c r="B5" s="16" t="s">
        <v>551</v>
      </c>
      <c r="C5" s="16" t="s">
        <v>552</v>
      </c>
      <c r="D5" s="16" t="s">
        <v>553</v>
      </c>
    </row>
    <row r="6" ht="21" customHeight="1">
      <c r="A6" s="15">
        <v>3</v>
      </c>
      <c r="B6" s="14" t="s">
        <v>554</v>
      </c>
      <c r="C6" s="14" t="s">
        <v>555</v>
      </c>
      <c r="D6" s="14" t="s">
        <v>556</v>
      </c>
    </row>
    <row r="7" ht="21" customHeight="1">
      <c r="A7" s="17">
        <v>4</v>
      </c>
      <c r="B7" s="16" t="s">
        <v>557</v>
      </c>
      <c r="C7" s="16" t="s">
        <v>558</v>
      </c>
      <c r="D7" s="16" t="s">
        <v>559</v>
      </c>
    </row>
    <row r="8" ht="21" customHeight="1">
      <c r="A8" s="15">
        <v>5</v>
      </c>
      <c r="B8" s="14" t="s">
        <v>302</v>
      </c>
      <c r="C8" s="14" t="s">
        <v>560</v>
      </c>
      <c r="D8" s="14" t="s">
        <v>561</v>
      </c>
    </row>
    <row r="9" ht="21" customHeight="1">
      <c r="A9" s="17">
        <v>6</v>
      </c>
      <c r="B9" s="16" t="s">
        <v>562</v>
      </c>
      <c r="C9" s="16" t="s">
        <v>563</v>
      </c>
      <c r="D9" s="16" t="s">
        <v>564</v>
      </c>
    </row>
    <row r="10" ht="21" customHeight="1">
      <c r="A10" s="15">
        <v>7</v>
      </c>
      <c r="B10" s="14" t="s">
        <v>565</v>
      </c>
      <c r="C10" s="14" t="s">
        <v>566</v>
      </c>
      <c r="D10" s="14" t="s">
        <v>567</v>
      </c>
    </row>
    <row r="11" ht="21" customHeight="1">
      <c r="A11" s="17">
        <v>8</v>
      </c>
      <c r="B11" s="16" t="s">
        <v>568</v>
      </c>
      <c r="C11" s="16" t="s">
        <v>569</v>
      </c>
      <c r="D11" s="16" t="s">
        <v>570</v>
      </c>
    </row>
    <row r="12" ht="21" customHeight="1">
      <c r="A12" s="15">
        <v>9</v>
      </c>
      <c r="B12" s="14" t="s">
        <v>571</v>
      </c>
      <c r="C12" s="14" t="s">
        <v>572</v>
      </c>
      <c r="D12" s="14" t="s">
        <v>573</v>
      </c>
    </row>
    <row r="13" ht="21" customHeight="1">
      <c r="A13" s="17">
        <v>10</v>
      </c>
      <c r="B13" s="16" t="s">
        <v>574</v>
      </c>
      <c r="C13" s="16" t="s">
        <v>575</v>
      </c>
      <c r="D13" s="16" t="s">
        <v>576</v>
      </c>
    </row>
    <row r="14" ht="21" customHeight="1">
      <c r="A14" s="15">
        <v>11</v>
      </c>
      <c r="B14" s="14" t="s">
        <v>577</v>
      </c>
      <c r="C14" s="14" t="s">
        <v>578</v>
      </c>
      <c r="D14" s="14" t="s">
        <v>579</v>
      </c>
    </row>
    <row r="15" ht="21" customHeight="1">
      <c r="A15" s="17">
        <v>12</v>
      </c>
      <c r="B15" s="16" t="s">
        <v>580</v>
      </c>
      <c r="C15" s="16" t="s">
        <v>581</v>
      </c>
      <c r="D15" s="16" t="s">
        <v>582</v>
      </c>
    </row>
    <row r="18" ht="21" customHeight="1">
      <c r="A18" s="8" t="s">
        <v>583</v>
      </c>
    </row>
    <row r="19" ht="15" customHeight="1">
      <c r="A19" s="3" t="s">
        <v>584</v>
      </c>
      <c r="B19" s="3" t="s">
        <v>585</v>
      </c>
    </row>
    <row r="20" ht="19.5" customHeight="1">
      <c r="A20" s="4" t="s">
        <v>579</v>
      </c>
      <c r="B20" s="24">
        <v>0.55</v>
      </c>
    </row>
    <row r="21" ht="19.5" customHeight="1">
      <c r="A21" s="11" t="s">
        <v>432</v>
      </c>
      <c r="B21" s="25">
        <v>0.1</v>
      </c>
    </row>
    <row r="22" ht="19.5" customHeight="1">
      <c r="A22" s="4" t="s">
        <v>586</v>
      </c>
      <c r="B22" s="24">
        <v>0.12</v>
      </c>
    </row>
    <row r="23" ht="19.5" customHeight="1">
      <c r="A23" s="11" t="s">
        <v>302</v>
      </c>
      <c r="B23" s="25">
        <v>0.08</v>
      </c>
    </row>
    <row r="24" ht="19.5" customHeight="1">
      <c r="A24" s="4" t="s">
        <v>587</v>
      </c>
      <c r="B24" s="24">
        <v>0.06</v>
      </c>
    </row>
    <row r="25" ht="19.5" customHeight="1">
      <c r="A25" s="11" t="s">
        <v>588</v>
      </c>
      <c r="B25" s="25">
        <v>0.05</v>
      </c>
    </row>
    <row r="26" ht="19.5" customHeight="1">
      <c r="A26" s="4" t="s">
        <v>589</v>
      </c>
      <c r="B26" s="24">
        <v>0.04</v>
      </c>
    </row>
  </sheetData>
  <mergeCells>
    <mergeCell ref="A1:D1"/>
    <mergeCell ref="A18:D1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02EF0338-F66D-E368-CCA8-E3EECEE16138}" mc:Ignorable="x14ac xr xr2 xr3">
  <dimension ref="A1:GR1000"/>
  <sheetViews>
    <sheetView topLeftCell="A1" workbookViewId="0">
      <pane ySplit="1" topLeftCell="A2" activePane="bottomLeft" state="frozen"/>
      <selection pane="bottomLeft" activeCell="A1" sqref="A1:D1"/>
    </sheetView>
  </sheetViews>
  <sheetFormatPr defaultRowHeight="15" defaultColWidth="8.8515625" customHeight="1"/>
  <cols>
    <col min="1" max="1" width="34.28125" customWidth="1"/>
    <col min="2" max="2" width="22.8515625" customWidth="1"/>
    <col min="3" max="3" width="18.57421875" customWidth="1"/>
    <col min="4" max="4" width="51.421875" customWidth="1"/>
  </cols>
  <sheetData>
    <row r="1" ht="26.25" customHeight="1">
      <c r="A1" s="7" t="s">
        <v>590</v>
      </c>
    </row>
    <row r="3" ht="15" customHeight="1">
      <c r="A3" s="3" t="s">
        <v>591</v>
      </c>
      <c r="B3" s="3" t="s">
        <v>592</v>
      </c>
      <c r="C3" s="3" t="s">
        <v>593</v>
      </c>
      <c r="D3" s="3" t="s">
        <v>594</v>
      </c>
    </row>
    <row r="4" ht="19.5" customHeight="1">
      <c r="A4" s="14" t="s">
        <v>595</v>
      </c>
      <c r="B4" s="14" t="s">
        <v>596</v>
      </c>
      <c r="C4" s="15">
        <v>1</v>
      </c>
      <c r="D4" s="14" t="s">
        <v>597</v>
      </c>
    </row>
    <row r="5" ht="19.5" customHeight="1">
      <c r="A5" s="16" t="s">
        <v>598</v>
      </c>
      <c r="B5" s="16" t="s">
        <v>367</v>
      </c>
      <c r="C5" s="17">
        <v>1</v>
      </c>
      <c r="D5" s="16" t="s">
        <v>599</v>
      </c>
    </row>
    <row r="6" ht="19.5" customHeight="1">
      <c r="A6" s="14" t="s">
        <v>600</v>
      </c>
      <c r="B6" s="14" t="s">
        <v>601</v>
      </c>
      <c r="C6" s="15">
        <v>1</v>
      </c>
      <c r="D6" s="14" t="s">
        <v>602</v>
      </c>
    </row>
    <row r="7" ht="19.5" customHeight="1">
      <c r="A7" s="16" t="s">
        <v>603</v>
      </c>
      <c r="B7" s="16" t="s">
        <v>604</v>
      </c>
      <c r="C7" s="17">
        <v>1</v>
      </c>
      <c r="D7" s="16" t="s">
        <v>605</v>
      </c>
    </row>
    <row r="8" ht="19.5" customHeight="1">
      <c r="A8" s="14" t="s">
        <v>606</v>
      </c>
      <c r="B8" s="14" t="s">
        <v>40</v>
      </c>
      <c r="C8" s="15">
        <v>1</v>
      </c>
      <c r="D8" s="14" t="s">
        <v>607</v>
      </c>
    </row>
    <row r="9" ht="19.5" customHeight="1">
      <c r="A9" s="16" t="s">
        <v>608</v>
      </c>
      <c r="B9" s="16" t="s">
        <v>444</v>
      </c>
      <c r="C9" s="17">
        <v>1</v>
      </c>
      <c r="D9" s="16" t="s">
        <v>609</v>
      </c>
    </row>
    <row r="10" ht="19.5" customHeight="1">
      <c r="A10" s="14" t="s">
        <v>610</v>
      </c>
      <c r="B10" s="14" t="s">
        <v>611</v>
      </c>
      <c r="C10" s="15">
        <v>1</v>
      </c>
      <c r="D10" s="14" t="s">
        <v>612</v>
      </c>
    </row>
    <row r="11" ht="19.5" customHeight="1">
      <c r="A11" s="16" t="s">
        <v>613</v>
      </c>
      <c r="B11" s="16" t="s">
        <v>614</v>
      </c>
      <c r="C11" s="17">
        <v>1</v>
      </c>
      <c r="D11" s="16" t="s">
        <v>615</v>
      </c>
    </row>
    <row r="12" ht="19.5" customHeight="1">
      <c r="A12" s="14" t="s">
        <v>616</v>
      </c>
      <c r="B12" s="14" t="s">
        <v>617</v>
      </c>
      <c r="C12" s="15">
        <v>1</v>
      </c>
      <c r="D12" s="14" t="s">
        <v>618</v>
      </c>
    </row>
    <row r="13" ht="19.5" customHeight="1">
      <c r="A13" s="16" t="s">
        <v>619</v>
      </c>
      <c r="B13" s="16" t="s">
        <v>31</v>
      </c>
      <c r="C13" s="17">
        <v>1</v>
      </c>
      <c r="D13" s="16" t="s">
        <v>620</v>
      </c>
    </row>
    <row r="14" ht="19.5" customHeight="1">
      <c r="A14" s="14" t="s">
        <v>621</v>
      </c>
      <c r="B14" s="14" t="s">
        <v>622</v>
      </c>
      <c r="C14" s="15">
        <v>1</v>
      </c>
      <c r="D14" s="14" t="s">
        <v>623</v>
      </c>
    </row>
    <row r="15" ht="19.5" customHeight="1">
      <c r="A15" s="16" t="s">
        <v>624</v>
      </c>
      <c r="B15" s="16" t="s">
        <v>625</v>
      </c>
      <c r="C15" s="17">
        <v>1</v>
      </c>
      <c r="D15" s="16" t="s">
        <v>626</v>
      </c>
    </row>
    <row r="16" ht="19.5" customHeight="1">
      <c r="A16" s="14" t="s">
        <v>627</v>
      </c>
      <c r="B16" s="14" t="s">
        <v>628</v>
      </c>
      <c r="C16" s="15">
        <v>4</v>
      </c>
      <c r="D16" s="14" t="s">
        <v>629</v>
      </c>
    </row>
    <row r="17" ht="19.5" customHeight="1">
      <c r="A17" s="16" t="s">
        <v>630</v>
      </c>
      <c r="B17" s="16" t="s">
        <v>628</v>
      </c>
      <c r="C17" s="17">
        <v>6</v>
      </c>
      <c r="D17" s="16" t="s">
        <v>631</v>
      </c>
    </row>
    <row r="18" ht="19.5" customHeight="1">
      <c r="A18" s="14" t="s">
        <v>632</v>
      </c>
      <c r="B18" s="14" t="s">
        <v>628</v>
      </c>
      <c r="C18" s="15">
        <v>3</v>
      </c>
      <c r="D18" s="14" t="s">
        <v>633</v>
      </c>
    </row>
    <row r="19" ht="19.5" customHeight="1">
      <c r="A19" s="16" t="s">
        <v>634</v>
      </c>
      <c r="B19" s="16" t="s">
        <v>628</v>
      </c>
      <c r="C19" s="17">
        <v>2</v>
      </c>
      <c r="D19" s="16" t="s">
        <v>635</v>
      </c>
    </row>
    <row r="20" ht="19.5" customHeight="1">
      <c r="A20" s="14" t="s">
        <v>636</v>
      </c>
      <c r="B20" s="14" t="s">
        <v>637</v>
      </c>
      <c r="C20" s="15">
        <v>2</v>
      </c>
      <c r="D20" s="14" t="s">
        <v>638</v>
      </c>
    </row>
    <row r="21" ht="19.5" customHeight="1">
      <c r="A21" s="16" t="s">
        <v>639</v>
      </c>
      <c r="B21" s="16" t="s">
        <v>640</v>
      </c>
      <c r="C21" s="17">
        <v>2</v>
      </c>
      <c r="D21" s="16" t="s">
        <v>641</v>
      </c>
    </row>
    <row r="22" ht="19.5" customHeight="1">
      <c r="A22" s="14" t="s">
        <v>642</v>
      </c>
      <c r="B22" s="14" t="s">
        <v>444</v>
      </c>
      <c r="C22" s="15">
        <v>3</v>
      </c>
      <c r="D22" s="14" t="s">
        <v>643</v>
      </c>
    </row>
    <row r="23" ht="19.5" customHeight="1">
      <c r="A23" s="16" t="s">
        <v>644</v>
      </c>
      <c r="B23" s="16" t="s">
        <v>43</v>
      </c>
      <c r="C23" s="17">
        <v>2</v>
      </c>
      <c r="D23" s="16" t="s">
        <v>645</v>
      </c>
    </row>
    <row r="24" ht="19.5" customHeight="1">
      <c r="A24" s="14" t="s">
        <v>646</v>
      </c>
      <c r="B24" s="14" t="s">
        <v>604</v>
      </c>
      <c r="C24" s="15">
        <v>3</v>
      </c>
      <c r="D24" s="14" t="s">
        <v>647</v>
      </c>
    </row>
    <row r="25" ht="19.5" customHeight="1">
      <c r="A25" s="16" t="s">
        <v>648</v>
      </c>
      <c r="B25" s="16" t="s">
        <v>604</v>
      </c>
      <c r="C25" s="17">
        <v>2</v>
      </c>
      <c r="D25" s="16" t="s">
        <v>103</v>
      </c>
    </row>
    <row r="26" ht="19.5" customHeight="1">
      <c r="A26" s="14" t="s">
        <v>649</v>
      </c>
      <c r="B26" s="14" t="s">
        <v>650</v>
      </c>
      <c r="C26" s="15">
        <v>5</v>
      </c>
      <c r="D26" s="14" t="s">
        <v>651</v>
      </c>
    </row>
    <row r="27" ht="19.5" customHeight="1">
      <c r="A27" s="16" t="s">
        <v>652</v>
      </c>
      <c r="B27" s="16" t="s">
        <v>617</v>
      </c>
      <c r="C27" s="17">
        <v>6</v>
      </c>
      <c r="D27" s="16" t="s">
        <v>653</v>
      </c>
    </row>
    <row r="28" ht="19.5" customHeight="1">
      <c r="A28" s="14" t="s">
        <v>654</v>
      </c>
      <c r="B28" s="14" t="s">
        <v>622</v>
      </c>
      <c r="C28" s="15">
        <v>10</v>
      </c>
      <c r="D28" s="14" t="s">
        <v>655</v>
      </c>
    </row>
    <row r="29" ht="19.5" customHeight="1">
      <c r="A29" s="16" t="s">
        <v>656</v>
      </c>
      <c r="B29" s="16" t="s">
        <v>40</v>
      </c>
      <c r="C29" s="17">
        <v>2</v>
      </c>
      <c r="D29" s="16" t="s">
        <v>657</v>
      </c>
    </row>
    <row r="30" ht="19.5" customHeight="1">
      <c r="A30" s="14" t="s">
        <v>658</v>
      </c>
      <c r="B30" s="14" t="s">
        <v>28</v>
      </c>
      <c r="C30" s="15">
        <v>1</v>
      </c>
      <c r="D30" s="14" t="s">
        <v>659</v>
      </c>
    </row>
    <row r="31" ht="22.5" customHeight="1">
      <c r="A31" s="26" t="s">
        <v>660</v>
      </c>
      <c r="B31" s="26"/>
      <c r="C31" s="27">
        <f>SUM(C4:C30)</f>
        <v>65</v>
      </c>
      <c r="D31" s="26"/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9EA0A8A-BC72-47FD-FDCC-AA9B7DF51DE4}" mc:Ignorable="x14ac xr xr2 xr3">
  <dimension ref="A1:GR1000"/>
  <sheetViews>
    <sheetView topLeftCell="A1" workbookViewId="0">
      <pane ySplit="1" topLeftCell="A2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34.28125" customWidth="1"/>
    <col min="3" max="3" width="45.7109375" customWidth="1"/>
    <col min="4" max="4" width="51.421875" customWidth="1"/>
  </cols>
  <sheetData>
    <row r="1" ht="26.25" customHeight="1">
      <c r="A1" s="7" t="s">
        <v>661</v>
      </c>
    </row>
    <row r="3" ht="15" customHeight="1">
      <c r="A3" s="3" t="s">
        <v>2</v>
      </c>
      <c r="B3" s="3" t="s">
        <v>662</v>
      </c>
      <c r="C3" s="3" t="s">
        <v>4</v>
      </c>
      <c r="D3" s="3" t="s">
        <v>663</v>
      </c>
    </row>
    <row r="4" ht="24" customHeight="1">
      <c r="A4" s="15">
        <v>1</v>
      </c>
      <c r="B4" s="14" t="s">
        <v>664</v>
      </c>
      <c r="C4" s="14" t="s">
        <v>665</v>
      </c>
      <c r="D4" s="14" t="s">
        <v>666</v>
      </c>
    </row>
    <row r="5" ht="24" customHeight="1">
      <c r="A5" s="28">
        <v>2</v>
      </c>
      <c r="B5" s="29" t="s">
        <v>667</v>
      </c>
      <c r="C5" s="29" t="s">
        <v>668</v>
      </c>
      <c r="D5" s="29" t="s">
        <v>669</v>
      </c>
    </row>
    <row r="6" ht="24" customHeight="1">
      <c r="A6" s="15">
        <v>3</v>
      </c>
      <c r="B6" s="14" t="s">
        <v>670</v>
      </c>
      <c r="C6" s="14" t="s">
        <v>671</v>
      </c>
      <c r="D6" s="14" t="s">
        <v>672</v>
      </c>
    </row>
    <row r="7" ht="24" customHeight="1">
      <c r="A7" s="28">
        <v>4</v>
      </c>
      <c r="B7" s="29" t="s">
        <v>673</v>
      </c>
      <c r="C7" s="29" t="s">
        <v>674</v>
      </c>
      <c r="D7" s="29" t="s">
        <v>675</v>
      </c>
    </row>
    <row r="8" ht="24" customHeight="1">
      <c r="A8" s="15">
        <v>5</v>
      </c>
      <c r="B8" s="14" t="s">
        <v>676</v>
      </c>
      <c r="C8" s="14" t="s">
        <v>677</v>
      </c>
      <c r="D8" s="14" t="s">
        <v>678</v>
      </c>
    </row>
    <row r="9" ht="24" customHeight="1">
      <c r="A9" s="28">
        <v>6</v>
      </c>
      <c r="B9" s="29" t="s">
        <v>679</v>
      </c>
      <c r="C9" s="29" t="s">
        <v>680</v>
      </c>
      <c r="D9" s="29" t="s">
        <v>681</v>
      </c>
    </row>
    <row r="10" ht="24" customHeight="1">
      <c r="A10" s="15">
        <v>7</v>
      </c>
      <c r="B10" s="14" t="s">
        <v>682</v>
      </c>
      <c r="C10" s="14" t="s">
        <v>683</v>
      </c>
      <c r="D10" s="14" t="s">
        <v>684</v>
      </c>
    </row>
    <row r="11" ht="24" customHeight="1">
      <c r="A11" s="28">
        <v>8</v>
      </c>
      <c r="B11" s="29" t="s">
        <v>685</v>
      </c>
      <c r="C11" s="29" t="s">
        <v>686</v>
      </c>
      <c r="D11" s="29" t="s">
        <v>687</v>
      </c>
    </row>
    <row r="12" ht="24" customHeight="1">
      <c r="A12" s="15">
        <v>9</v>
      </c>
      <c r="B12" s="14" t="s">
        <v>688</v>
      </c>
      <c r="C12" s="14" t="s">
        <v>689</v>
      </c>
      <c r="D12" s="14" t="s">
        <v>690</v>
      </c>
    </row>
    <row r="13" ht="24" customHeight="1">
      <c r="A13" s="28">
        <v>10</v>
      </c>
      <c r="B13" s="29" t="s">
        <v>691</v>
      </c>
      <c r="C13" s="29" t="s">
        <v>692</v>
      </c>
      <c r="D13" s="29" t="s">
        <v>693</v>
      </c>
    </row>
    <row r="14" ht="24" customHeight="1">
      <c r="A14" s="15">
        <v>11</v>
      </c>
      <c r="B14" s="14" t="s">
        <v>694</v>
      </c>
      <c r="C14" s="14" t="s">
        <v>695</v>
      </c>
      <c r="D14" s="14" t="s">
        <v>696</v>
      </c>
    </row>
    <row r="15" ht="24" customHeight="1">
      <c r="A15" s="28">
        <v>12</v>
      </c>
      <c r="B15" s="29" t="s">
        <v>697</v>
      </c>
      <c r="C15" s="29" t="s">
        <v>698</v>
      </c>
      <c r="D15" s="29" t="s">
        <v>699</v>
      </c>
    </row>
    <row r="16" ht="24" customHeight="1">
      <c r="A16" s="15">
        <v>13</v>
      </c>
      <c r="B16" s="14" t="s">
        <v>700</v>
      </c>
      <c r="C16" s="14" t="s">
        <v>701</v>
      </c>
      <c r="D16" s="14" t="s">
        <v>702</v>
      </c>
    </row>
    <row r="17" ht="24" customHeight="1">
      <c r="A17" s="28">
        <v>14</v>
      </c>
      <c r="B17" s="29" t="s">
        <v>703</v>
      </c>
      <c r="C17" s="29" t="s">
        <v>704</v>
      </c>
      <c r="D17" s="29" t="s">
        <v>705</v>
      </c>
    </row>
    <row r="18" ht="24" customHeight="1">
      <c r="A18" s="15">
        <v>15</v>
      </c>
      <c r="B18" s="14" t="s">
        <v>706</v>
      </c>
      <c r="C18" s="14" t="s">
        <v>707</v>
      </c>
      <c r="D18" s="14" t="s">
        <v>708</v>
      </c>
    </row>
    <row r="19" ht="24" customHeight="1">
      <c r="A19" s="28">
        <v>16</v>
      </c>
      <c r="B19" s="29" t="s">
        <v>709</v>
      </c>
      <c r="C19" s="29" t="s">
        <v>710</v>
      </c>
      <c r="D19" s="29" t="s">
        <v>711</v>
      </c>
    </row>
    <row r="20" ht="24" customHeight="1">
      <c r="A20" s="15">
        <v>17</v>
      </c>
      <c r="B20" s="14" t="s">
        <v>712</v>
      </c>
      <c r="C20" s="14" t="s">
        <v>713</v>
      </c>
      <c r="D20" s="14" t="s">
        <v>714</v>
      </c>
    </row>
    <row r="21" ht="24" customHeight="1">
      <c r="A21" s="28">
        <v>18</v>
      </c>
      <c r="B21" s="29" t="s">
        <v>715</v>
      </c>
      <c r="C21" s="29" t="s">
        <v>716</v>
      </c>
      <c r="D21" s="29" t="s">
        <v>717</v>
      </c>
    </row>
    <row r="22" ht="24" customHeight="1">
      <c r="A22" s="15">
        <v>19</v>
      </c>
      <c r="B22" s="14" t="s">
        <v>718</v>
      </c>
      <c r="C22" s="14" t="s">
        <v>187</v>
      </c>
      <c r="D22" s="14" t="s">
        <v>719</v>
      </c>
    </row>
    <row r="23" ht="24" customHeight="1">
      <c r="A23" s="28">
        <v>20</v>
      </c>
      <c r="B23" s="29" t="s">
        <v>720</v>
      </c>
      <c r="C23" s="29" t="s">
        <v>721</v>
      </c>
      <c r="D23" s="29" t="s">
        <v>722</v>
      </c>
    </row>
  </sheetData>
  <mergeCells>
    <mergeCell ref="A1:D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75E93293-D9B8-B5E8-9FE4-518EC9149001}" mc:Ignorable="x14ac xr xr2 xr3">
  <dimension ref="A1:GR1000"/>
  <sheetViews>
    <sheetView topLeftCell="A1" workbookViewId="0">
      <pane ySplit="1" topLeftCell="A2" activePane="bottomLeft" state="frozen"/>
      <selection pane="bottomLeft" activeCell="A1" sqref="A1:C1"/>
    </sheetView>
  </sheetViews>
  <sheetFormatPr defaultRowHeight="15" defaultColWidth="8.8515625" customHeight="1"/>
  <cols>
    <col min="1" max="1" width="37.140625" customWidth="1"/>
    <col min="2" max="2" width="31.421875" customWidth="1"/>
    <col min="3" max="3" width="54.28125" customWidth="1"/>
  </cols>
  <sheetData>
    <row r="1" ht="26.25" customHeight="1">
      <c r="A1" s="7" t="s">
        <v>723</v>
      </c>
    </row>
    <row r="3" ht="15" customHeight="1">
      <c r="A3" s="3" t="s">
        <v>724</v>
      </c>
      <c r="B3" s="3" t="s">
        <v>725</v>
      </c>
      <c r="C3" s="3" t="s">
        <v>726</v>
      </c>
    </row>
    <row r="4" ht="24" customHeight="1">
      <c r="A4" s="4" t="s">
        <v>727</v>
      </c>
      <c r="B4" s="4" t="s">
        <v>728</v>
      </c>
      <c r="C4" s="4" t="s">
        <v>729</v>
      </c>
    </row>
    <row r="5" ht="24" customHeight="1">
      <c r="A5" s="5" t="s">
        <v>730</v>
      </c>
      <c r="B5" s="5" t="s">
        <v>731</v>
      </c>
      <c r="C5" s="5" t="s">
        <v>732</v>
      </c>
    </row>
    <row r="6" ht="24" customHeight="1">
      <c r="A6" s="4" t="s">
        <v>733</v>
      </c>
      <c r="B6" s="4" t="s">
        <v>734</v>
      </c>
      <c r="C6" s="4" t="s">
        <v>735</v>
      </c>
    </row>
    <row r="7" ht="24" customHeight="1">
      <c r="A7" s="5" t="s">
        <v>736</v>
      </c>
      <c r="B7" s="5" t="s">
        <v>737</v>
      </c>
      <c r="C7" s="5" t="s">
        <v>738</v>
      </c>
    </row>
    <row r="8" ht="24" customHeight="1">
      <c r="A8" s="4" t="s">
        <v>85</v>
      </c>
      <c r="B8" s="4" t="s">
        <v>739</v>
      </c>
      <c r="C8" s="4" t="s">
        <v>740</v>
      </c>
    </row>
    <row r="9" ht="24" customHeight="1">
      <c r="A9" s="5" t="s">
        <v>741</v>
      </c>
      <c r="B9" s="5" t="s">
        <v>742</v>
      </c>
      <c r="C9" s="5" t="s">
        <v>743</v>
      </c>
    </row>
    <row r="10" ht="24" customHeight="1">
      <c r="A10" s="4" t="s">
        <v>744</v>
      </c>
      <c r="B10" s="4" t="s">
        <v>745</v>
      </c>
      <c r="C10" s="4" t="s">
        <v>746</v>
      </c>
    </row>
    <row r="11" ht="24" customHeight="1">
      <c r="A11" s="5" t="s">
        <v>189</v>
      </c>
      <c r="B11" s="5" t="s">
        <v>747</v>
      </c>
      <c r="C11" s="5" t="s">
        <v>748</v>
      </c>
    </row>
    <row r="12" ht="24" customHeight="1">
      <c r="A12" s="4" t="s">
        <v>749</v>
      </c>
      <c r="B12" s="4" t="s">
        <v>750</v>
      </c>
      <c r="C12" s="4" t="s">
        <v>751</v>
      </c>
    </row>
    <row r="13" ht="24" customHeight="1">
      <c r="A13" s="5" t="s">
        <v>752</v>
      </c>
      <c r="B13" s="5" t="s">
        <v>753</v>
      </c>
      <c r="C13" s="5" t="s">
        <v>754</v>
      </c>
    </row>
    <row r="14" ht="24" customHeight="1">
      <c r="A14" s="4" t="s">
        <v>755</v>
      </c>
      <c r="B14" s="4" t="s">
        <v>280</v>
      </c>
      <c r="C14" s="4" t="s">
        <v>756</v>
      </c>
    </row>
    <row r="15" ht="24" customHeight="1">
      <c r="A15" s="5" t="s">
        <v>757</v>
      </c>
      <c r="B15" s="5" t="s">
        <v>758</v>
      </c>
      <c r="C15" s="5" t="s">
        <v>759</v>
      </c>
    </row>
    <row r="16" ht="24" customHeight="1">
      <c r="A16" s="4" t="s">
        <v>760</v>
      </c>
      <c r="B16" s="4" t="s">
        <v>761</v>
      </c>
      <c r="C16" s="4" t="s">
        <v>762</v>
      </c>
    </row>
    <row r="17" ht="24" customHeight="1">
      <c r="A17" s="5" t="s">
        <v>763</v>
      </c>
      <c r="B17" s="5" t="s">
        <v>764</v>
      </c>
      <c r="C17" s="5" t="s">
        <v>765</v>
      </c>
    </row>
    <row r="18" ht="24" customHeight="1">
      <c r="A18" s="4" t="s">
        <v>766</v>
      </c>
      <c r="B18" s="4" t="s">
        <v>767</v>
      </c>
      <c r="C18" s="4" t="s">
        <v>768</v>
      </c>
    </row>
    <row r="20" ht="21" customHeight="1">
      <c r="A20" s="8" t="s">
        <v>769</v>
      </c>
    </row>
    <row r="21" ht="15" customHeight="1">
      <c r="A21" s="3" t="s">
        <v>770</v>
      </c>
      <c r="B21" s="3" t="s">
        <v>771</v>
      </c>
      <c r="C21" s="3" t="s">
        <v>772</v>
      </c>
    </row>
    <row r="22" ht="19.5" customHeight="1">
      <c r="A22" s="14" t="s">
        <v>773</v>
      </c>
      <c r="B22" s="30">
        <v>0.2</v>
      </c>
      <c r="C22" s="14" t="s">
        <v>774</v>
      </c>
    </row>
    <row r="23" ht="19.5" customHeight="1">
      <c r="A23" s="31" t="s">
        <v>775</v>
      </c>
      <c r="B23" s="32">
        <v>0.18</v>
      </c>
      <c r="C23" s="31" t="s">
        <v>776</v>
      </c>
    </row>
    <row r="24" ht="19.5" customHeight="1">
      <c r="A24" s="14" t="s">
        <v>777</v>
      </c>
      <c r="B24" s="30">
        <v>0.22</v>
      </c>
      <c r="C24" s="14" t="s">
        <v>778</v>
      </c>
    </row>
    <row r="25" ht="19.5" customHeight="1">
      <c r="A25" s="31" t="s">
        <v>779</v>
      </c>
      <c r="B25" s="32">
        <v>0.1</v>
      </c>
      <c r="C25" s="31" t="s">
        <v>780</v>
      </c>
    </row>
    <row r="26" ht="19.5" customHeight="1">
      <c r="A26" s="14" t="s">
        <v>781</v>
      </c>
      <c r="B26" s="30">
        <v>0.08</v>
      </c>
      <c r="C26" s="14" t="s">
        <v>782</v>
      </c>
    </row>
    <row r="27" ht="19.5" customHeight="1">
      <c r="A27" s="31" t="s">
        <v>783</v>
      </c>
      <c r="B27" s="32">
        <v>0.07</v>
      </c>
      <c r="C27" s="31" t="s">
        <v>784</v>
      </c>
    </row>
    <row r="28" ht="19.5" customHeight="1">
      <c r="A28" s="14" t="s">
        <v>785</v>
      </c>
      <c r="B28" s="30">
        <v>0.06</v>
      </c>
      <c r="C28" s="14" t="s">
        <v>189</v>
      </c>
    </row>
    <row r="29" ht="19.5" customHeight="1">
      <c r="A29" s="31" t="s">
        <v>786</v>
      </c>
      <c r="B29" s="32">
        <v>0.06</v>
      </c>
      <c r="C29" s="31" t="s">
        <v>787</v>
      </c>
    </row>
    <row r="30" ht="19.5" customHeight="1">
      <c r="A30" s="14" t="s">
        <v>788</v>
      </c>
      <c r="B30" s="30">
        <v>0.03</v>
      </c>
      <c r="C30" s="14" t="s">
        <v>789</v>
      </c>
    </row>
  </sheetData>
  <mergeCells>
    <mergeCell ref="A1:C1"/>
    <mergeCell ref="A20:C20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B86ED86F-9C08-9CD5-6169-6AE706976D18}" mc:Ignorable="x14ac xr xr2 xr3">
  <dimension ref="A1:GR1000"/>
  <sheetViews>
    <sheetView topLeftCell="A1" workbookViewId="0">
      <pane ySplit="1" topLeftCell="A2" activePane="bottomLeft" state="frozen"/>
      <selection pane="bottomLeft" activeCell="A1" sqref="A1:E1"/>
    </sheetView>
  </sheetViews>
  <sheetFormatPr defaultRowHeight="15" defaultColWidth="8.8515625" customHeight="1"/>
  <cols>
    <col min="1" max="1" width="28.57421875" customWidth="1"/>
    <col min="2" max="2" width="15.7109375" customWidth="1"/>
    <col min="3" max="3" width="40.00390625" customWidth="1"/>
    <col min="4" max="4" width="45.7109375" customWidth="1"/>
    <col min="5" max="5" width="34.28125" customWidth="1"/>
  </cols>
  <sheetData>
    <row r="1" ht="26.25" customHeight="1">
      <c r="A1" s="7" t="s">
        <v>790</v>
      </c>
    </row>
    <row r="3" ht="15" customHeight="1">
      <c r="A3" s="3" t="s">
        <v>791</v>
      </c>
      <c r="B3" s="3" t="s">
        <v>792</v>
      </c>
      <c r="C3" s="3" t="s">
        <v>793</v>
      </c>
      <c r="D3" s="3" t="s">
        <v>794</v>
      </c>
      <c r="E3" s="3" t="s">
        <v>795</v>
      </c>
    </row>
    <row r="4" ht="52.5" customHeight="1">
      <c r="A4" s="33" t="s">
        <v>796</v>
      </c>
      <c r="B4" s="33" t="s">
        <v>797</v>
      </c>
      <c r="C4" s="4" t="s">
        <v>798</v>
      </c>
      <c r="D4" s="4" t="s">
        <v>799</v>
      </c>
      <c r="E4" s="4" t="s">
        <v>800</v>
      </c>
    </row>
    <row r="5" ht="52.5" customHeight="1">
      <c r="A5" s="34" t="s">
        <v>801</v>
      </c>
      <c r="B5" s="34" t="s">
        <v>802</v>
      </c>
      <c r="C5" s="5" t="s">
        <v>803</v>
      </c>
      <c r="D5" s="5" t="s">
        <v>804</v>
      </c>
      <c r="E5" s="5" t="s">
        <v>805</v>
      </c>
    </row>
    <row r="6" ht="52.5" customHeight="1">
      <c r="A6" s="33" t="s">
        <v>806</v>
      </c>
      <c r="B6" s="33" t="s">
        <v>807</v>
      </c>
      <c r="C6" s="4" t="s">
        <v>808</v>
      </c>
      <c r="D6" s="4" t="s">
        <v>809</v>
      </c>
      <c r="E6" s="4" t="s">
        <v>810</v>
      </c>
    </row>
    <row r="7" ht="52.5" customHeight="1">
      <c r="A7" s="34" t="s">
        <v>811</v>
      </c>
      <c r="B7" s="34" t="s">
        <v>812</v>
      </c>
      <c r="C7" s="5" t="s">
        <v>813</v>
      </c>
      <c r="D7" s="5" t="s">
        <v>814</v>
      </c>
      <c r="E7" s="5" t="s">
        <v>815</v>
      </c>
    </row>
    <row r="8" ht="52.5" customHeight="1">
      <c r="A8" s="33" t="s">
        <v>816</v>
      </c>
      <c r="B8" s="33" t="s">
        <v>817</v>
      </c>
      <c r="C8" s="4" t="s">
        <v>818</v>
      </c>
      <c r="D8" s="4" t="s">
        <v>819</v>
      </c>
      <c r="E8" s="4" t="s">
        <v>820</v>
      </c>
    </row>
    <row r="11" ht="21" customHeight="1">
      <c r="A11" s="8" t="s">
        <v>821</v>
      </c>
    </row>
    <row r="12" ht="15" customHeight="1">
      <c r="A12" s="3" t="s">
        <v>822</v>
      </c>
      <c r="B12" s="3" t="s">
        <v>823</v>
      </c>
      <c r="C12" s="3" t="s">
        <v>824</v>
      </c>
      <c r="D12" s="3" t="s">
        <v>825</v>
      </c>
      <c r="E12" s="3" t="s">
        <v>772</v>
      </c>
    </row>
    <row r="13" ht="28.5" customHeight="1">
      <c r="A13" s="35" t="s">
        <v>826</v>
      </c>
      <c r="B13" s="35" t="s">
        <v>827</v>
      </c>
      <c r="C13" s="35" t="s">
        <v>828</v>
      </c>
      <c r="D13" s="35" t="s">
        <v>829</v>
      </c>
      <c r="E13" s="35" t="s">
        <v>830</v>
      </c>
    </row>
    <row r="14" ht="28.5" customHeight="1">
      <c r="A14" s="36" t="s">
        <v>831</v>
      </c>
      <c r="B14" s="36" t="s">
        <v>832</v>
      </c>
      <c r="C14" s="36" t="s">
        <v>833</v>
      </c>
      <c r="D14" s="36" t="s">
        <v>834</v>
      </c>
      <c r="E14" s="36" t="s">
        <v>835</v>
      </c>
    </row>
    <row r="15" ht="28.5" customHeight="1">
      <c r="A15" s="35" t="s">
        <v>836</v>
      </c>
      <c r="B15" s="35" t="s">
        <v>837</v>
      </c>
      <c r="C15" s="35" t="s">
        <v>838</v>
      </c>
      <c r="D15" s="35" t="s">
        <v>839</v>
      </c>
      <c r="E15" s="35" t="s">
        <v>840</v>
      </c>
    </row>
    <row r="16" ht="28.5" customHeight="1">
      <c r="A16" s="36" t="s">
        <v>841</v>
      </c>
      <c r="B16" s="36" t="s">
        <v>842</v>
      </c>
      <c r="C16" s="36" t="s">
        <v>843</v>
      </c>
      <c r="D16" s="36" t="s">
        <v>844</v>
      </c>
      <c r="E16" s="36" t="s">
        <v>845</v>
      </c>
    </row>
  </sheetData>
  <mergeCells>
    <mergeCell ref="A1:E1"/>
    <mergeCell ref="A11:E11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AF4EFB68-30C7-9C7C-9145-92651E2D49D8}" mc:Ignorable="x14ac xr xr2 xr3">
  <dimension ref="A1:GR1000"/>
  <sheetViews>
    <sheetView topLeftCell="A1" workbookViewId="0">
      <pane ySplit="1" topLeftCell="A2" activePane="bottomLeft" state="frozen"/>
      <selection pane="bottomLeft" activeCell="A1" sqref="A1:F1"/>
    </sheetView>
  </sheetViews>
  <sheetFormatPr defaultRowHeight="15" defaultColWidth="8.8515625" customHeight="1"/>
  <cols>
    <col min="1" max="1" width="34.28125" customWidth="1"/>
    <col min="2" max="6" width="15.7109375" customWidth="1"/>
  </cols>
  <sheetData>
    <row r="1" ht="26.25" customHeight="1">
      <c r="A1" s="7" t="s">
        <v>846</v>
      </c>
    </row>
    <row r="3" ht="21" customHeight="1">
      <c r="A3" s="8" t="s">
        <v>847</v>
      </c>
    </row>
    <row r="4" ht="15" customHeight="1">
      <c r="A4" s="3" t="s">
        <v>59</v>
      </c>
      <c r="B4" s="3" t="s">
        <v>848</v>
      </c>
    </row>
    <row r="5" ht="19.5" customHeight="1">
      <c r="A5" s="4" t="s">
        <v>849</v>
      </c>
      <c r="B5" s="37">
        <v>1500</v>
      </c>
    </row>
    <row r="6" ht="19.5" customHeight="1">
      <c r="A6" s="11" t="s">
        <v>850</v>
      </c>
      <c r="B6" s="25">
        <v>0.2</v>
      </c>
    </row>
    <row r="7" ht="19.5" customHeight="1">
      <c r="A7" s="4" t="s">
        <v>851</v>
      </c>
      <c r="B7" s="37">
        <f t="shared" si="1" ref="B7:F21">B5*B6</f>
        <v>300</v>
      </c>
    </row>
    <row r="8" ht="19.5" customHeight="1">
      <c r="A8" s="11" t="s">
        <v>852</v>
      </c>
      <c r="B8" s="38">
        <v>80</v>
      </c>
    </row>
    <row r="9" ht="19.5" customHeight="1">
      <c r="A9" s="4" t="s">
        <v>853</v>
      </c>
      <c r="B9" s="37">
        <f>B5*0.02</f>
        <v>30</v>
      </c>
    </row>
    <row r="10" ht="19.5" customHeight="1">
      <c r="A10" s="11" t="s">
        <v>854</v>
      </c>
      <c r="B10" s="38">
        <v>40</v>
      </c>
    </row>
    <row r="11" ht="19.5" customHeight="1">
      <c r="A11" s="4" t="s">
        <v>855</v>
      </c>
      <c r="B11" s="37">
        <v>25</v>
      </c>
    </row>
    <row r="12" ht="19.5" customHeight="1">
      <c r="A12" s="11" t="s">
        <v>856</v>
      </c>
      <c r="B12" s="38">
        <v>90</v>
      </c>
    </row>
    <row r="13" ht="19.5" customHeight="1">
      <c r="A13" s="39" t="s">
        <v>857</v>
      </c>
      <c r="B13" s="40">
        <f>B7+B8-B9-B10-B11-B12</f>
        <v>195</v>
      </c>
    </row>
    <row r="15" ht="21" customHeight="1">
      <c r="A15" s="8" t="s">
        <v>858</v>
      </c>
    </row>
    <row r="16" ht="15" customHeight="1">
      <c r="A16" s="3" t="s">
        <v>59</v>
      </c>
      <c r="B16" s="3" t="s">
        <v>859</v>
      </c>
      <c r="C16" s="3" t="s">
        <v>860</v>
      </c>
      <c r="D16" s="3" t="s">
        <v>861</v>
      </c>
      <c r="E16" s="3" t="s">
        <v>862</v>
      </c>
      <c r="F16" s="3" t="s">
        <v>863</v>
      </c>
    </row>
    <row r="17" ht="19.5" customHeight="1">
      <c r="A17" s="4" t="s">
        <v>864</v>
      </c>
      <c r="B17" s="4">
        <v>0.5</v>
      </c>
      <c r="C17" s="4">
        <v>3</v>
      </c>
      <c r="D17" s="4">
        <v>12</v>
      </c>
      <c r="E17" s="4">
        <v>35</v>
      </c>
      <c r="F17" s="4">
        <v>80</v>
      </c>
    </row>
    <row r="18" ht="19.5" customHeight="1">
      <c r="A18" s="11" t="s">
        <v>865</v>
      </c>
      <c r="B18" s="11">
        <v>1500</v>
      </c>
      <c r="C18" s="11">
        <v>1600</v>
      </c>
      <c r="D18" s="11">
        <v>1700</v>
      </c>
      <c r="E18" s="11">
        <v>1800</v>
      </c>
      <c r="F18" s="11">
        <v>1900</v>
      </c>
    </row>
    <row r="19" ht="19.5" customHeight="1">
      <c r="A19" s="4" t="s">
        <v>866</v>
      </c>
      <c r="B19" s="41">
        <f t="shared" si="0" ref="B19:F19">B17*100000*B18/10000000</f>
        <v>7.5</v>
      </c>
      <c r="C19" s="41">
        <f t="shared" si="0"/>
        <v>48</v>
      </c>
      <c r="D19" s="41">
        <f t="shared" si="0"/>
        <v>204</v>
      </c>
      <c r="E19" s="41">
        <f t="shared" si="0"/>
        <v>630</v>
      </c>
      <c r="F19" s="41">
        <f t="shared" si="0"/>
        <v>1520</v>
      </c>
    </row>
    <row r="20" ht="19.5" customHeight="1">
      <c r="A20" s="11" t="s">
        <v>850</v>
      </c>
      <c r="B20" s="25">
        <v>0.18</v>
      </c>
      <c r="C20" s="25">
        <v>0.2</v>
      </c>
      <c r="D20" s="25">
        <v>0.22</v>
      </c>
      <c r="E20" s="25">
        <v>0.23</v>
      </c>
      <c r="F20" s="25">
        <v>0.24</v>
      </c>
    </row>
    <row r="21" ht="19.5" customHeight="1">
      <c r="A21" s="4" t="s">
        <v>867</v>
      </c>
      <c r="B21" s="41">
        <f t="shared" si="1"/>
        <v>1.35</v>
      </c>
      <c r="C21" s="41">
        <f t="shared" si="1"/>
        <v>9.6</v>
      </c>
      <c r="D21" s="41">
        <f t="shared" si="1"/>
        <v>44.88</v>
      </c>
      <c r="E21" s="41">
        <f t="shared" si="1"/>
        <v>144.9</v>
      </c>
      <c r="F21" s="41">
        <f t="shared" si="1"/>
        <v>364.8</v>
      </c>
    </row>
    <row r="22" ht="19.5" customHeight="1">
      <c r="A22" s="11" t="s">
        <v>868</v>
      </c>
      <c r="B22" s="11">
        <v>25</v>
      </c>
      <c r="C22" s="11">
        <v>60</v>
      </c>
      <c r="D22" s="11">
        <v>140</v>
      </c>
      <c r="E22" s="11">
        <v>280</v>
      </c>
      <c r="F22" s="11">
        <v>480</v>
      </c>
    </row>
    <row r="23" ht="19.5" customHeight="1">
      <c r="A23" s="12" t="s">
        <v>869</v>
      </c>
      <c r="B23" s="42">
        <f t="shared" si="2" ref="B23:F23">B21-B22</f>
        <v>-23.65</v>
      </c>
      <c r="C23" s="42">
        <f t="shared" si="2"/>
        <v>-50.4</v>
      </c>
      <c r="D23" s="42">
        <f t="shared" si="2"/>
        <v>-95.12</v>
      </c>
      <c r="E23" s="42">
        <f t="shared" si="2"/>
        <v>-135.1</v>
      </c>
      <c r="F23" s="42">
        <f t="shared" si="2"/>
        <v>-115.2</v>
      </c>
    </row>
    <row r="24" ht="19.5" customHeight="1">
      <c r="A24" s="12" t="s">
        <v>870</v>
      </c>
      <c r="B24" s="43">
        <f t="shared" si="3" ref="B24:F24">B23/B21</f>
        <v>-17.5185185185185</v>
      </c>
      <c r="C24" s="43">
        <f t="shared" si="3"/>
        <v>-5.25</v>
      </c>
      <c r="D24" s="43">
        <f t="shared" si="3"/>
        <v>-2.11942959001783</v>
      </c>
      <c r="E24" s="43">
        <f t="shared" si="3"/>
        <v>-0.932367149758454</v>
      </c>
      <c r="F24" s="43">
        <f t="shared" si="3"/>
        <v>-0.315789473684211</v>
      </c>
    </row>
  </sheetData>
  <mergeCells>
    <mergeCell ref="A1:F1"/>
    <mergeCell ref="A3:F3"/>
    <mergeCell ref="A15:F1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drawing r:id="rId1"/>
  <extLst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3B6CE38-4998-2A48-DA84-D11E0B2CD398}" mc:Ignorable="x14ac xr xr2 xr3">
  <dimension ref="A1:GR1000"/>
  <sheetViews>
    <sheetView topLeftCell="A1" workbookViewId="0">
      <pane ySplit="1" topLeftCell="A2" activePane="bottomLeft" state="frozen"/>
      <selection pane="bottomLeft" activeCell="A1" sqref="A1:D1"/>
    </sheetView>
  </sheetViews>
  <sheetFormatPr defaultRowHeight="15" defaultColWidth="8.8515625" customHeight="1"/>
  <cols>
    <col min="1" max="1" width="7.140625" customWidth="1"/>
    <col min="2" max="2" width="31.421875" customWidth="1"/>
    <col min="3" max="3" width="28.57421875" customWidth="1"/>
    <col min="4" max="4" width="54.28125" customWidth="1"/>
  </cols>
  <sheetData>
    <row r="1" ht="26.25" customHeight="1">
      <c r="A1" s="7" t="s">
        <v>871</v>
      </c>
    </row>
    <row r="3" ht="21" customHeight="1">
      <c r="A3" s="8" t="s">
        <v>872</v>
      </c>
    </row>
    <row r="4" ht="15" customHeight="1">
      <c r="A4" s="3" t="s">
        <v>2</v>
      </c>
      <c r="B4" s="3" t="s">
        <v>873</v>
      </c>
      <c r="C4" s="3" t="s">
        <v>368</v>
      </c>
      <c r="D4" s="3" t="s">
        <v>874</v>
      </c>
    </row>
    <row r="5" ht="19.5" customHeight="1">
      <c r="A5" s="15">
        <v>1</v>
      </c>
      <c r="B5" s="14" t="s">
        <v>875</v>
      </c>
      <c r="C5" s="14" t="s">
        <v>876</v>
      </c>
      <c r="D5" s="14" t="s">
        <v>877</v>
      </c>
    </row>
    <row r="6" ht="19.5" customHeight="1">
      <c r="A6" s="44">
        <v>2</v>
      </c>
      <c r="B6" s="31" t="s">
        <v>878</v>
      </c>
      <c r="C6" s="31" t="s">
        <v>464</v>
      </c>
      <c r="D6" s="31" t="s">
        <v>879</v>
      </c>
    </row>
    <row r="7" ht="19.5" customHeight="1">
      <c r="A7" s="15">
        <v>3</v>
      </c>
      <c r="B7" s="14" t="s">
        <v>880</v>
      </c>
      <c r="C7" s="14" t="s">
        <v>428</v>
      </c>
      <c r="D7" s="14" t="s">
        <v>881</v>
      </c>
    </row>
    <row r="8" ht="19.5" customHeight="1">
      <c r="A8" s="44">
        <v>4</v>
      </c>
      <c r="B8" s="31" t="s">
        <v>882</v>
      </c>
      <c r="C8" s="31" t="s">
        <v>883</v>
      </c>
      <c r="D8" s="31" t="s">
        <v>884</v>
      </c>
    </row>
    <row r="9" ht="19.5" customHeight="1">
      <c r="A9" s="15">
        <v>5</v>
      </c>
      <c r="B9" s="14" t="s">
        <v>885</v>
      </c>
      <c r="C9" s="14" t="s">
        <v>883</v>
      </c>
      <c r="D9" s="14" t="s">
        <v>886</v>
      </c>
    </row>
    <row r="10" ht="19.5" customHeight="1">
      <c r="A10" s="44">
        <v>6</v>
      </c>
      <c r="B10" s="31" t="s">
        <v>887</v>
      </c>
      <c r="C10" s="31" t="s">
        <v>888</v>
      </c>
      <c r="D10" s="31" t="s">
        <v>889</v>
      </c>
    </row>
    <row r="11" ht="19.5" customHeight="1">
      <c r="A11" s="15">
        <v>7</v>
      </c>
      <c r="B11" s="14" t="s">
        <v>890</v>
      </c>
      <c r="C11" s="14" t="s">
        <v>891</v>
      </c>
      <c r="D11" s="14" t="s">
        <v>892</v>
      </c>
    </row>
    <row r="12" ht="19.5" customHeight="1">
      <c r="A12" s="44">
        <v>8</v>
      </c>
      <c r="B12" s="31" t="s">
        <v>893</v>
      </c>
      <c r="C12" s="31" t="s">
        <v>778</v>
      </c>
      <c r="D12" s="31" t="s">
        <v>894</v>
      </c>
    </row>
    <row r="13" ht="19.5" customHeight="1">
      <c r="A13" s="15">
        <v>9</v>
      </c>
      <c r="B13" s="14" t="s">
        <v>895</v>
      </c>
      <c r="C13" s="14" t="s">
        <v>895</v>
      </c>
      <c r="D13" s="14" t="s">
        <v>896</v>
      </c>
    </row>
    <row r="14" ht="19.5" customHeight="1">
      <c r="A14" s="44">
        <v>10</v>
      </c>
      <c r="B14" s="31" t="s">
        <v>897</v>
      </c>
      <c r="C14" s="31" t="s">
        <v>898</v>
      </c>
      <c r="D14" s="31" t="s">
        <v>899</v>
      </c>
    </row>
    <row r="15" ht="19.5" customHeight="1">
      <c r="A15" s="15">
        <v>11</v>
      </c>
      <c r="B15" s="14" t="s">
        <v>900</v>
      </c>
      <c r="C15" s="14" t="s">
        <v>901</v>
      </c>
      <c r="D15" s="14" t="s">
        <v>902</v>
      </c>
    </row>
    <row r="16" ht="19.5" customHeight="1">
      <c r="A16" s="44">
        <v>12</v>
      </c>
      <c r="B16" s="31" t="s">
        <v>903</v>
      </c>
      <c r="C16" s="31" t="s">
        <v>186</v>
      </c>
      <c r="D16" s="31" t="s">
        <v>904</v>
      </c>
    </row>
    <row r="17" ht="19.5" customHeight="1">
      <c r="A17" s="15">
        <v>13</v>
      </c>
      <c r="B17" s="14" t="s">
        <v>905</v>
      </c>
      <c r="C17" s="14" t="s">
        <v>187</v>
      </c>
      <c r="D17" s="14" t="s">
        <v>906</v>
      </c>
    </row>
    <row r="18" ht="19.5" customHeight="1">
      <c r="A18" s="44">
        <v>14</v>
      </c>
      <c r="B18" s="31" t="s">
        <v>907</v>
      </c>
      <c r="C18" s="31" t="s">
        <v>908</v>
      </c>
      <c r="D18" s="31" t="s">
        <v>909</v>
      </c>
    </row>
    <row r="19" ht="19.5" customHeight="1">
      <c r="A19" s="15">
        <v>15</v>
      </c>
      <c r="B19" s="14" t="s">
        <v>910</v>
      </c>
      <c r="C19" s="14" t="s">
        <v>187</v>
      </c>
      <c r="D19" s="14" t="s">
        <v>911</v>
      </c>
    </row>
    <row r="20" ht="19.5" customHeight="1">
      <c r="A20" s="44">
        <v>16</v>
      </c>
      <c r="B20" s="31" t="s">
        <v>912</v>
      </c>
      <c r="C20" s="31" t="s">
        <v>913</v>
      </c>
      <c r="D20" s="31" t="s">
        <v>914</v>
      </c>
    </row>
    <row r="21" ht="19.5" customHeight="1">
      <c r="A21" s="15">
        <v>17</v>
      </c>
      <c r="B21" s="14" t="s">
        <v>915</v>
      </c>
      <c r="C21" s="14" t="s">
        <v>189</v>
      </c>
      <c r="D21" s="14" t="s">
        <v>916</v>
      </c>
    </row>
    <row r="22" ht="19.5" customHeight="1">
      <c r="A22" s="44">
        <v>18</v>
      </c>
      <c r="B22" s="31" t="s">
        <v>917</v>
      </c>
      <c r="C22" s="31" t="s">
        <v>189</v>
      </c>
      <c r="D22" s="31" t="s">
        <v>918</v>
      </c>
    </row>
    <row r="23" ht="19.5" customHeight="1">
      <c r="A23" s="15">
        <v>19</v>
      </c>
      <c r="B23" s="14" t="s">
        <v>919</v>
      </c>
      <c r="C23" s="14" t="s">
        <v>920</v>
      </c>
      <c r="D23" s="14" t="s">
        <v>921</v>
      </c>
    </row>
    <row r="24" ht="19.5" customHeight="1">
      <c r="A24" s="44">
        <v>20</v>
      </c>
      <c r="B24" s="31" t="s">
        <v>922</v>
      </c>
      <c r="C24" s="31" t="s">
        <v>622</v>
      </c>
      <c r="D24" s="31" t="s">
        <v>923</v>
      </c>
    </row>
    <row r="26" ht="21" customHeight="1">
      <c r="A26" s="8" t="s">
        <v>924</v>
      </c>
    </row>
    <row r="27" ht="15" customHeight="1">
      <c r="A27" s="3" t="s">
        <v>2</v>
      </c>
      <c r="B27" s="3" t="s">
        <v>925</v>
      </c>
      <c r="C27" s="3" t="s">
        <v>368</v>
      </c>
      <c r="D27" s="3" t="s">
        <v>874</v>
      </c>
    </row>
    <row r="28" ht="19.5" customHeight="1">
      <c r="A28" s="15">
        <v>1</v>
      </c>
      <c r="B28" s="14" t="s">
        <v>926</v>
      </c>
      <c r="C28" s="14" t="s">
        <v>927</v>
      </c>
      <c r="D28" s="14" t="s">
        <v>928</v>
      </c>
    </row>
    <row r="29" ht="19.5" customHeight="1">
      <c r="A29" s="44">
        <v>2</v>
      </c>
      <c r="B29" s="31" t="s">
        <v>929</v>
      </c>
      <c r="C29" s="31" t="s">
        <v>930</v>
      </c>
      <c r="D29" s="31" t="s">
        <v>931</v>
      </c>
    </row>
    <row r="30" ht="19.5" customHeight="1">
      <c r="A30" s="15">
        <v>3</v>
      </c>
      <c r="B30" s="14" t="s">
        <v>932</v>
      </c>
      <c r="C30" s="14" t="s">
        <v>933</v>
      </c>
      <c r="D30" s="14" t="s">
        <v>934</v>
      </c>
    </row>
    <row r="31" ht="19.5" customHeight="1">
      <c r="A31" s="44">
        <v>4</v>
      </c>
      <c r="B31" s="31" t="s">
        <v>935</v>
      </c>
      <c r="C31" s="31" t="s">
        <v>936</v>
      </c>
      <c r="D31" s="31" t="s">
        <v>937</v>
      </c>
    </row>
    <row r="32" ht="19.5" customHeight="1">
      <c r="A32" s="15">
        <v>5</v>
      </c>
      <c r="B32" s="14" t="s">
        <v>938</v>
      </c>
      <c r="C32" s="14" t="s">
        <v>939</v>
      </c>
      <c r="D32" s="14" t="s">
        <v>940</v>
      </c>
    </row>
    <row r="33" ht="19.5" customHeight="1">
      <c r="A33" s="44">
        <v>6</v>
      </c>
      <c r="B33" s="31" t="s">
        <v>941</v>
      </c>
      <c r="C33" s="31" t="s">
        <v>650</v>
      </c>
      <c r="D33" s="31" t="s">
        <v>942</v>
      </c>
    </row>
    <row r="34" ht="19.5" customHeight="1">
      <c r="A34" s="15">
        <v>7</v>
      </c>
      <c r="B34" s="14" t="s">
        <v>943</v>
      </c>
      <c r="C34" s="14" t="s">
        <v>944</v>
      </c>
      <c r="D34" s="14" t="s">
        <v>945</v>
      </c>
    </row>
    <row r="35" ht="19.5" customHeight="1">
      <c r="A35" s="44">
        <v>8</v>
      </c>
      <c r="B35" s="31" t="s">
        <v>946</v>
      </c>
      <c r="C35" s="31" t="s">
        <v>947</v>
      </c>
      <c r="D35" s="31" t="s">
        <v>948</v>
      </c>
    </row>
    <row r="36" ht="19.5" customHeight="1">
      <c r="A36" s="15">
        <v>9</v>
      </c>
      <c r="B36" s="14" t="s">
        <v>949</v>
      </c>
      <c r="C36" s="14" t="s">
        <v>950</v>
      </c>
      <c r="D36" s="14" t="s">
        <v>951</v>
      </c>
    </row>
    <row r="37" ht="19.5" customHeight="1">
      <c r="A37" s="44">
        <v>10</v>
      </c>
      <c r="B37" s="31" t="s">
        <v>952</v>
      </c>
      <c r="C37" s="31" t="s">
        <v>953</v>
      </c>
      <c r="D37" s="31" t="s">
        <v>954</v>
      </c>
    </row>
    <row r="39" ht="21" customHeight="1">
      <c r="A39" s="8" t="s">
        <v>955</v>
      </c>
    </row>
    <row r="40" ht="19.5" customHeight="1">
      <c r="A40" s="12" t="s">
        <v>956</v>
      </c>
    </row>
    <row r="41" ht="19.5" customHeight="1">
      <c r="A41" s="12" t="s">
        <v>957</v>
      </c>
    </row>
    <row r="42" ht="19.5" customHeight="1">
      <c r="A42" s="12" t="s">
        <v>958</v>
      </c>
    </row>
    <row r="43" ht="19.5" customHeight="1">
      <c r="A43" s="12" t="s">
        <v>959</v>
      </c>
    </row>
    <row r="44" ht="19.5" customHeight="1">
      <c r="A44" s="12" t="s">
        <v>960</v>
      </c>
    </row>
    <row r="45" ht="19.5" customHeight="1">
      <c r="A45" s="12" t="s">
        <v>961</v>
      </c>
    </row>
  </sheetData>
  <mergeCells>
    <mergeCell ref="A1:D1"/>
    <mergeCell ref="A3:D3"/>
    <mergeCell ref="A26:D26"/>
    <mergeCell ref="A39:D39"/>
    <mergeCell ref="A40:D40"/>
    <mergeCell ref="A41:D41"/>
    <mergeCell ref="A42:D42"/>
    <mergeCell ref="A43:D43"/>
    <mergeCell ref="A44:D44"/>
    <mergeCell ref="A45:D45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95649FB4-D888-1F9A-9A88-55C8470FE698}" mc:Ignorable="x14ac xr xr2 xr3">
  <dimension ref="A1:GR1000"/>
  <sheetViews>
    <sheetView topLeftCell="A1" workbookViewId="0">
      <pane ySplit="1" topLeftCell="A2" activePane="bottomLeft" state="frozen"/>
      <selection pane="bottomLeft" activeCell="A1" sqref="A1:F1"/>
    </sheetView>
  </sheetViews>
  <sheetFormatPr defaultRowHeight="15" defaultColWidth="8.8515625" customHeight="1"/>
  <cols>
    <col min="1" max="1" width="4.28125" customWidth="1"/>
    <col min="2" max="5" width="25.7109375" customWidth="1"/>
    <col min="6" max="6" width="4.28125" customWidth="1"/>
  </cols>
  <sheetData>
    <row r="1" ht="26.25" customHeight="1">
      <c r="A1" s="7" t="s">
        <v>962</v>
      </c>
    </row>
    <row r="3" ht="21" customHeight="1">
      <c r="A3" s="45" t="s">
        <v>963</v>
      </c>
    </row>
    <row r="4" ht="22.5" customHeight="1">
      <c r="B4" s="46" t="s">
        <v>964</v>
      </c>
    </row>
    <row r="5" ht="15" customHeight="1">
      <c r="B5" s="47" t="s">
        <v>965</v>
      </c>
    </row>
    <row r="6" ht="22.5" customHeight="1">
      <c r="B6" s="48" t="s">
        <v>966</v>
      </c>
    </row>
    <row r="7" ht="15" customHeight="1">
      <c r="B7" s="47" t="s">
        <v>965</v>
      </c>
    </row>
    <row r="8" ht="22.5" customHeight="1">
      <c r="B8" s="46" t="s">
        <v>967</v>
      </c>
    </row>
    <row r="9" ht="15" customHeight="1">
      <c r="B9" s="47" t="s">
        <v>965</v>
      </c>
    </row>
    <row r="10" ht="22.5" customHeight="1">
      <c r="B10" s="48" t="s">
        <v>968</v>
      </c>
    </row>
    <row r="11" ht="15" customHeight="1">
      <c r="B11" s="47" t="s">
        <v>965</v>
      </c>
    </row>
    <row r="12" ht="22.5" customHeight="1">
      <c r="B12" s="46" t="s">
        <v>969</v>
      </c>
    </row>
    <row r="13" ht="15" customHeight="1">
      <c r="B13" s="47" t="s">
        <v>965</v>
      </c>
    </row>
    <row r="14" ht="22.5" customHeight="1">
      <c r="B14" s="48" t="s">
        <v>970</v>
      </c>
    </row>
    <row r="15" ht="15" customHeight="1">
      <c r="B15" s="47" t="s">
        <v>965</v>
      </c>
    </row>
    <row r="16" ht="22.5" customHeight="1">
      <c r="B16" s="46" t="s">
        <v>971</v>
      </c>
    </row>
    <row r="17" ht="15" customHeight="1">
      <c r="B17" s="47" t="s">
        <v>965</v>
      </c>
    </row>
    <row r="18" ht="22.5" customHeight="1">
      <c r="B18" s="48" t="s">
        <v>972</v>
      </c>
    </row>
    <row r="19" ht="15" customHeight="1">
      <c r="B19" s="47" t="s">
        <v>965</v>
      </c>
    </row>
    <row r="20" ht="22.5" customHeight="1">
      <c r="B20" s="46" t="s">
        <v>973</v>
      </c>
    </row>
    <row r="21" ht="15" customHeight="1">
      <c r="B21" s="47" t="s">
        <v>965</v>
      </c>
    </row>
    <row r="22" ht="22.5" customHeight="1">
      <c r="B22" s="48" t="s">
        <v>974</v>
      </c>
    </row>
    <row r="23" ht="15" customHeight="1">
      <c r="B23" s="47" t="s">
        <v>965</v>
      </c>
    </row>
    <row r="24" ht="22.5" customHeight="1">
      <c r="B24" s="46" t="s">
        <v>975</v>
      </c>
    </row>
    <row r="25" ht="15" customHeight="1">
      <c r="B25" s="47" t="s">
        <v>965</v>
      </c>
    </row>
    <row r="26" ht="22.5" customHeight="1">
      <c r="B26" s="48" t="s">
        <v>976</v>
      </c>
    </row>
    <row r="29" ht="21" customHeight="1">
      <c r="A29" s="45" t="s">
        <v>977</v>
      </c>
    </row>
    <row r="30" ht="22.5" customHeight="1">
      <c r="B30" s="46" t="s">
        <v>978</v>
      </c>
    </row>
    <row r="31" ht="15" customHeight="1">
      <c r="B31" s="47" t="s">
        <v>965</v>
      </c>
    </row>
    <row r="32" ht="22.5" customHeight="1">
      <c r="B32" s="48" t="s">
        <v>979</v>
      </c>
    </row>
    <row r="33" ht="15" customHeight="1">
      <c r="B33" s="47" t="s">
        <v>965</v>
      </c>
    </row>
    <row r="34" ht="22.5" customHeight="1">
      <c r="B34" s="46" t="s">
        <v>980</v>
      </c>
    </row>
    <row r="35" ht="15" customHeight="1">
      <c r="B35" s="47" t="s">
        <v>965</v>
      </c>
    </row>
    <row r="36" ht="22.5" customHeight="1">
      <c r="B36" s="48" t="s">
        <v>981</v>
      </c>
    </row>
    <row r="37" ht="15" customHeight="1">
      <c r="B37" s="47" t="s">
        <v>965</v>
      </c>
    </row>
    <row r="38" ht="22.5" customHeight="1">
      <c r="B38" s="46" t="s">
        <v>982</v>
      </c>
    </row>
    <row r="39" ht="15" customHeight="1">
      <c r="B39" s="47" t="s">
        <v>965</v>
      </c>
    </row>
    <row r="40" ht="22.5" customHeight="1">
      <c r="B40" s="48" t="s">
        <v>983</v>
      </c>
    </row>
    <row r="41" ht="15" customHeight="1">
      <c r="B41" s="47" t="s">
        <v>965</v>
      </c>
    </row>
    <row r="42" ht="22.5" customHeight="1">
      <c r="B42" s="46" t="s">
        <v>984</v>
      </c>
    </row>
    <row r="43" ht="15" customHeight="1">
      <c r="B43" s="47" t="s">
        <v>965</v>
      </c>
    </row>
    <row r="44" ht="22.5" customHeight="1">
      <c r="B44" s="48" t="s">
        <v>985</v>
      </c>
    </row>
    <row r="45" ht="15" customHeight="1">
      <c r="B45" s="47" t="s">
        <v>965</v>
      </c>
    </row>
    <row r="46" ht="22.5" customHeight="1">
      <c r="B46" s="46" t="s">
        <v>986</v>
      </c>
    </row>
    <row r="49" ht="21" customHeight="1">
      <c r="A49" s="45" t="s">
        <v>987</v>
      </c>
    </row>
    <row r="50" ht="22.5" customHeight="1">
      <c r="B50" s="46" t="s">
        <v>988</v>
      </c>
    </row>
    <row r="51" ht="15" customHeight="1">
      <c r="B51" s="47" t="s">
        <v>965</v>
      </c>
    </row>
    <row r="52" ht="22.5" customHeight="1">
      <c r="B52" s="48" t="s">
        <v>989</v>
      </c>
    </row>
    <row r="53" ht="15" customHeight="1">
      <c r="B53" s="47" t="s">
        <v>965</v>
      </c>
    </row>
    <row r="54" ht="22.5" customHeight="1">
      <c r="B54" s="46" t="s">
        <v>990</v>
      </c>
    </row>
    <row r="55" ht="15" customHeight="1">
      <c r="B55" s="47" t="s">
        <v>965</v>
      </c>
    </row>
    <row r="56" ht="22.5" customHeight="1">
      <c r="B56" s="48" t="s">
        <v>991</v>
      </c>
    </row>
    <row r="57" ht="15" customHeight="1">
      <c r="B57" s="47" t="s">
        <v>965</v>
      </c>
    </row>
    <row r="58" ht="22.5" customHeight="1">
      <c r="B58" s="46" t="s">
        <v>992</v>
      </c>
    </row>
    <row r="59" ht="15" customHeight="1">
      <c r="B59" s="47" t="s">
        <v>965</v>
      </c>
    </row>
    <row r="60" ht="22.5" customHeight="1">
      <c r="B60" s="48" t="s">
        <v>993</v>
      </c>
    </row>
    <row r="61" ht="15" customHeight="1">
      <c r="B61" s="47" t="s">
        <v>965</v>
      </c>
    </row>
    <row r="62" ht="22.5" customHeight="1">
      <c r="B62" s="46" t="s">
        <v>994</v>
      </c>
    </row>
    <row r="63" ht="15" customHeight="1">
      <c r="B63" s="47" t="s">
        <v>965</v>
      </c>
    </row>
    <row r="64" ht="22.5" customHeight="1">
      <c r="B64" s="48" t="s">
        <v>995</v>
      </c>
    </row>
    <row r="67" ht="21" customHeight="1">
      <c r="A67" s="45" t="s">
        <v>996</v>
      </c>
    </row>
    <row r="68" ht="22.5" customHeight="1">
      <c r="B68" s="46" t="s">
        <v>997</v>
      </c>
    </row>
    <row r="69" ht="15" customHeight="1">
      <c r="B69" s="47" t="s">
        <v>965</v>
      </c>
    </row>
    <row r="70" ht="22.5" customHeight="1">
      <c r="B70" s="48" t="s">
        <v>998</v>
      </c>
    </row>
    <row r="71" ht="15" customHeight="1">
      <c r="B71" s="47" t="s">
        <v>965</v>
      </c>
    </row>
    <row r="72" ht="22.5" customHeight="1">
      <c r="B72" s="46" t="s">
        <v>999</v>
      </c>
    </row>
    <row r="73" ht="15" customHeight="1">
      <c r="B73" s="47" t="s">
        <v>965</v>
      </c>
    </row>
    <row r="74" ht="22.5" customHeight="1">
      <c r="B74" s="48" t="s">
        <v>1000</v>
      </c>
    </row>
    <row r="75" ht="15" customHeight="1">
      <c r="B75" s="47" t="s">
        <v>965</v>
      </c>
    </row>
    <row r="76" ht="22.5" customHeight="1">
      <c r="B76" s="46" t="s">
        <v>1001</v>
      </c>
    </row>
    <row r="77" ht="15" customHeight="1">
      <c r="B77" s="47" t="s">
        <v>965</v>
      </c>
    </row>
    <row r="78" ht="22.5" customHeight="1">
      <c r="B78" s="48" t="s">
        <v>1002</v>
      </c>
    </row>
    <row r="79" ht="15" customHeight="1">
      <c r="B79" s="47" t="s">
        <v>965</v>
      </c>
    </row>
    <row r="80" ht="22.5" customHeight="1">
      <c r="B80" s="46" t="s">
        <v>1003</v>
      </c>
    </row>
    <row r="83" ht="21" customHeight="1">
      <c r="A83" s="45" t="s">
        <v>1004</v>
      </c>
    </row>
    <row r="84" ht="22.5" customHeight="1">
      <c r="B84" s="46" t="s">
        <v>989</v>
      </c>
    </row>
    <row r="85" ht="15" customHeight="1">
      <c r="B85" s="47" t="s">
        <v>965</v>
      </c>
    </row>
    <row r="86" ht="22.5" customHeight="1">
      <c r="B86" s="48" t="s">
        <v>1005</v>
      </c>
    </row>
    <row r="87" ht="15" customHeight="1">
      <c r="B87" s="47" t="s">
        <v>965</v>
      </c>
    </row>
    <row r="88" ht="22.5" customHeight="1">
      <c r="B88" s="46" t="s">
        <v>1006</v>
      </c>
    </row>
    <row r="89" ht="15" customHeight="1">
      <c r="B89" s="47" t="s">
        <v>965</v>
      </c>
    </row>
    <row r="90" ht="22.5" customHeight="1">
      <c r="B90" s="48" t="s">
        <v>1007</v>
      </c>
    </row>
    <row r="91" ht="15" customHeight="1">
      <c r="B91" s="47" t="s">
        <v>965</v>
      </c>
    </row>
    <row r="92" ht="22.5" customHeight="1">
      <c r="B92" s="46" t="s">
        <v>1008</v>
      </c>
    </row>
    <row r="93" ht="15" customHeight="1">
      <c r="B93" s="47" t="s">
        <v>965</v>
      </c>
    </row>
    <row r="94" ht="22.5" customHeight="1">
      <c r="B94" s="48" t="s">
        <v>1009</v>
      </c>
    </row>
    <row r="95" ht="15" customHeight="1">
      <c r="B95" s="47" t="s">
        <v>965</v>
      </c>
    </row>
    <row r="96" ht="22.5" customHeight="1">
      <c r="B96" s="46" t="s">
        <v>1010</v>
      </c>
    </row>
    <row r="97" ht="15" customHeight="1">
      <c r="B97" s="47" t="s">
        <v>965</v>
      </c>
    </row>
    <row r="98" ht="22.5" customHeight="1">
      <c r="B98" s="48" t="s">
        <v>1011</v>
      </c>
    </row>
    <row r="99" ht="15" customHeight="1">
      <c r="B99" s="47" t="s">
        <v>965</v>
      </c>
    </row>
    <row r="100" ht="22.5" customHeight="1">
      <c r="B100" s="46" t="s">
        <v>1012</v>
      </c>
    </row>
    <row r="103" ht="21" customHeight="1">
      <c r="A103" s="45" t="s">
        <v>1013</v>
      </c>
    </row>
    <row r="104" ht="22.5" customHeight="1">
      <c r="B104" s="46" t="s">
        <v>1014</v>
      </c>
    </row>
    <row r="105" ht="15" customHeight="1">
      <c r="B105" s="47" t="s">
        <v>965</v>
      </c>
    </row>
    <row r="106" ht="22.5" customHeight="1">
      <c r="B106" s="48" t="s">
        <v>1015</v>
      </c>
    </row>
    <row r="107" ht="15" customHeight="1">
      <c r="B107" s="47" t="s">
        <v>965</v>
      </c>
    </row>
    <row r="108" ht="22.5" customHeight="1">
      <c r="B108" s="46" t="s">
        <v>1016</v>
      </c>
    </row>
    <row r="109" ht="15" customHeight="1">
      <c r="B109" s="47" t="s">
        <v>965</v>
      </c>
    </row>
    <row r="110" ht="22.5" customHeight="1">
      <c r="B110" s="48" t="s">
        <v>1017</v>
      </c>
    </row>
    <row r="111" ht="15" customHeight="1">
      <c r="B111" s="47" t="s">
        <v>965</v>
      </c>
    </row>
    <row r="112" ht="22.5" customHeight="1">
      <c r="B112" s="46" t="s">
        <v>1018</v>
      </c>
    </row>
    <row r="113" ht="15" customHeight="1">
      <c r="B113" s="47" t="s">
        <v>965</v>
      </c>
    </row>
    <row r="114" ht="22.5" customHeight="1">
      <c r="B114" s="48" t="s">
        <v>1019</v>
      </c>
    </row>
    <row r="115" ht="15" customHeight="1">
      <c r="B115" s="47" t="s">
        <v>965</v>
      </c>
    </row>
    <row r="116" ht="22.5" customHeight="1">
      <c r="B116" s="46" t="s">
        <v>1020</v>
      </c>
    </row>
    <row r="117" ht="15" customHeight="1">
      <c r="B117" s="47" t="s">
        <v>965</v>
      </c>
    </row>
    <row r="118" ht="22.5" customHeight="1">
      <c r="B118" s="48" t="s">
        <v>1021</v>
      </c>
    </row>
  </sheetData>
  <mergeCells>
    <mergeCell ref="A1:F1"/>
    <mergeCell ref="A3:F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B21:E21"/>
    <mergeCell ref="B22:E22"/>
    <mergeCell ref="B23:E23"/>
    <mergeCell ref="B24:E24"/>
    <mergeCell ref="B25:E25"/>
    <mergeCell ref="B26:E26"/>
    <mergeCell ref="A29:F29"/>
    <mergeCell ref="B30:E30"/>
    <mergeCell ref="B31:E31"/>
    <mergeCell ref="B32:E32"/>
    <mergeCell ref="B33:E33"/>
    <mergeCell ref="B34:E34"/>
    <mergeCell ref="B35:E35"/>
    <mergeCell ref="B36:E36"/>
    <mergeCell ref="B37:E37"/>
    <mergeCell ref="B38:E38"/>
    <mergeCell ref="B39:E39"/>
    <mergeCell ref="B40:E40"/>
    <mergeCell ref="B41:E41"/>
    <mergeCell ref="B42:E42"/>
    <mergeCell ref="B43:E43"/>
    <mergeCell ref="B44:E44"/>
    <mergeCell ref="B45:E45"/>
    <mergeCell ref="B46:E46"/>
    <mergeCell ref="A49:F49"/>
    <mergeCell ref="B50:E50"/>
    <mergeCell ref="B51:E51"/>
    <mergeCell ref="B52:E52"/>
    <mergeCell ref="B53:E53"/>
    <mergeCell ref="B54:E54"/>
    <mergeCell ref="B55:E55"/>
    <mergeCell ref="B56:E56"/>
    <mergeCell ref="B57:E57"/>
    <mergeCell ref="B58:E58"/>
    <mergeCell ref="B59:E59"/>
    <mergeCell ref="B60:E60"/>
    <mergeCell ref="B61:E61"/>
    <mergeCell ref="B62:E62"/>
    <mergeCell ref="B63:E63"/>
    <mergeCell ref="B64:E64"/>
    <mergeCell ref="A67:F67"/>
    <mergeCell ref="B68:E68"/>
    <mergeCell ref="B69:E69"/>
    <mergeCell ref="B70:E70"/>
    <mergeCell ref="B71:E71"/>
    <mergeCell ref="B72:E72"/>
    <mergeCell ref="B73:E73"/>
    <mergeCell ref="B74:E74"/>
    <mergeCell ref="B75:E75"/>
    <mergeCell ref="B76:E76"/>
    <mergeCell ref="B77:E77"/>
    <mergeCell ref="B78:E78"/>
    <mergeCell ref="B79:E79"/>
    <mergeCell ref="B80:E80"/>
    <mergeCell ref="A83:F83"/>
    <mergeCell ref="B84:E84"/>
    <mergeCell ref="B85:E85"/>
    <mergeCell ref="B86:E86"/>
    <mergeCell ref="B87:E87"/>
    <mergeCell ref="B88:E88"/>
    <mergeCell ref="B89:E89"/>
    <mergeCell ref="B90:E90"/>
    <mergeCell ref="B91:E91"/>
    <mergeCell ref="B92:E92"/>
    <mergeCell ref="B93:E93"/>
    <mergeCell ref="B94:E94"/>
    <mergeCell ref="B95:E95"/>
    <mergeCell ref="B96:E96"/>
    <mergeCell ref="B97:E97"/>
    <mergeCell ref="B98:E98"/>
    <mergeCell ref="B99:E99"/>
    <mergeCell ref="B100:E100"/>
    <mergeCell ref="A103:F103"/>
    <mergeCell ref="B104:E104"/>
    <mergeCell ref="B105:E105"/>
    <mergeCell ref="B106:E106"/>
    <mergeCell ref="B107:E107"/>
    <mergeCell ref="B108:E108"/>
    <mergeCell ref="B109:E109"/>
    <mergeCell ref="B110:E110"/>
    <mergeCell ref="B111:E111"/>
    <mergeCell ref="B112:E112"/>
    <mergeCell ref="B113:E113"/>
    <mergeCell ref="B114:E114"/>
    <mergeCell ref="B115:E115"/>
    <mergeCell ref="B116:E116"/>
    <mergeCell ref="B117:E117"/>
    <mergeCell ref="B118:E118"/>
  </mergeCells>
  <printOptions/>
  <pageMargins left="0.7" right="0.7" top="0.75" bottom="0.75" header="0.3" footer="0.3"/>
  <pageSetup paperSize="1" orientation="portrait"/>
  <headerFooter>
    <oddHeader>&amp;L&amp;C&amp;R</oddHeader>
    <oddFooter>&amp;L&amp;C&amp;R</oddFooter>
  </headerFooter>
  <extLst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2026-05-18T08:57:56Z</dcterms:created>
</cp:coreProperties>
</file>